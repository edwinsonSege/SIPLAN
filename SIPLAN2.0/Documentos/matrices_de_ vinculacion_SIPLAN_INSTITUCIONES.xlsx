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dwin.son\Documents\"/>
    </mc:Choice>
  </mc:AlternateContent>
  <bookViews>
    <workbookView xWindow="0" yWindow="0" windowWidth="25200" windowHeight="11985" activeTab="2"/>
  </bookViews>
  <sheets>
    <sheet name="Vinculación a Meta Estrategica" sheetId="1" r:id="rId1"/>
    <sheet name="Vinculación a OBJETIVOS SECTORI" sheetId="2" r:id="rId2"/>
    <sheet name="Objetivos Sectoriales y Accione" sheetId="3" r:id="rId3"/>
  </sheets>
  <definedNames>
    <definedName name="_xlnm._FilterDatabase" localSheetId="0" hidden="1">'Vinculación a Meta Estrategica'!$B$2:$H$52</definedName>
    <definedName name="_xlnm._FilterDatabase" localSheetId="1" hidden="1">'Vinculación a OBJETIVOS SECTORI'!$A$2:$G$51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52" i="3" l="1"/>
  <c r="D140" i="3"/>
  <c r="D141" i="3" s="1"/>
  <c r="D142" i="3" s="1"/>
  <c r="D143" i="3" s="1"/>
  <c r="D144" i="3" s="1"/>
  <c r="D145" i="3" s="1"/>
  <c r="D146" i="3" s="1"/>
  <c r="D147" i="3" s="1"/>
  <c r="D148" i="3" s="1"/>
  <c r="D149" i="3" s="1"/>
  <c r="D150" i="3" s="1"/>
  <c r="D151" i="3" s="1"/>
  <c r="D152" i="3" s="1"/>
  <c r="D153" i="3" s="1"/>
  <c r="D154" i="3" s="1"/>
  <c r="D155" i="3" s="1"/>
  <c r="D156" i="3" s="1"/>
  <c r="D157" i="3" s="1"/>
  <c r="D158" i="3" s="1"/>
  <c r="D159" i="3" s="1"/>
  <c r="D160" i="3" s="1"/>
  <c r="D161" i="3" s="1"/>
  <c r="D162" i="3" s="1"/>
  <c r="D163" i="3" s="1"/>
  <c r="D164" i="3" s="1"/>
  <c r="D165" i="3" s="1"/>
  <c r="D166" i="3" s="1"/>
  <c r="D167" i="3" s="1"/>
  <c r="D168" i="3" s="1"/>
  <c r="D169" i="3" s="1"/>
  <c r="D170" i="3" s="1"/>
  <c r="D171" i="3" s="1"/>
  <c r="D172" i="3" s="1"/>
  <c r="D174" i="3"/>
  <c r="D175" i="3" s="1"/>
  <c r="D176" i="3" s="1"/>
  <c r="D177" i="3" s="1"/>
  <c r="D178" i="3" s="1"/>
  <c r="D179" i="3" s="1"/>
  <c r="D180" i="3" s="1"/>
  <c r="D181" i="3" s="1"/>
  <c r="D182" i="3" s="1"/>
  <c r="D183" i="3" s="1"/>
  <c r="D184" i="3" s="1"/>
  <c r="D185" i="3" s="1"/>
  <c r="D186" i="3" s="1"/>
  <c r="D187" i="3" s="1"/>
  <c r="D188" i="3" s="1"/>
  <c r="D189" i="3" s="1"/>
  <c r="D190" i="3" s="1"/>
  <c r="D191" i="3" s="1"/>
  <c r="D192" i="3" s="1"/>
  <c r="D193" i="3" s="1"/>
  <c r="D194" i="3" s="1"/>
  <c r="D195" i="3" s="1"/>
  <c r="D196" i="3" s="1"/>
  <c r="D197" i="3" s="1"/>
  <c r="D198" i="3" s="1"/>
  <c r="D199" i="3" s="1"/>
  <c r="D200" i="3" s="1"/>
  <c r="D201" i="3" s="1"/>
  <c r="D202" i="3" s="1"/>
  <c r="D203" i="3" s="1"/>
  <c r="D204" i="3" s="1"/>
  <c r="D205" i="3" s="1"/>
  <c r="D206" i="3" s="1"/>
  <c r="D207" i="3" s="1"/>
  <c r="D210" i="3"/>
  <c r="D211" i="3"/>
  <c r="D212" i="3" s="1"/>
  <c r="D213" i="3" s="1"/>
  <c r="D214" i="3" s="1"/>
  <c r="D215" i="3" s="1"/>
  <c r="D216" i="3" s="1"/>
  <c r="D217" i="3" s="1"/>
  <c r="D218" i="3" s="1"/>
  <c r="D219" i="3" s="1"/>
  <c r="D220" i="3" s="1"/>
  <c r="D221" i="3" s="1"/>
  <c r="D222" i="3" s="1"/>
  <c r="D223" i="3" s="1"/>
  <c r="D224" i="3" s="1"/>
  <c r="D225" i="3" s="1"/>
  <c r="D226" i="3" s="1"/>
  <c r="D227" i="3" s="1"/>
  <c r="D228" i="3" s="1"/>
  <c r="D229" i="3" s="1"/>
  <c r="D230" i="3" s="1"/>
  <c r="D231" i="3" s="1"/>
  <c r="D232" i="3" s="1"/>
  <c r="D233" i="3" s="1"/>
  <c r="D234" i="3" s="1"/>
  <c r="D235" i="3" s="1"/>
  <c r="D236" i="3" s="1"/>
  <c r="D237" i="3" s="1"/>
  <c r="D238" i="3" s="1"/>
  <c r="D239" i="3" s="1"/>
  <c r="D240" i="3" s="1"/>
  <c r="D241" i="3" s="1"/>
  <c r="D242" i="3" s="1"/>
  <c r="D243" i="3" s="1"/>
  <c r="D244" i="3" s="1"/>
  <c r="D245" i="3" s="1"/>
  <c r="D246" i="3" s="1"/>
  <c r="D247" i="3" s="1"/>
  <c r="D248" i="3" s="1"/>
  <c r="D249" i="3" s="1"/>
  <c r="D250" i="3" s="1"/>
  <c r="D251" i="3" s="1"/>
  <c r="D209" i="3"/>
  <c r="D72" i="3" l="1"/>
  <c r="D73" i="3" s="1"/>
  <c r="D74" i="3" s="1"/>
  <c r="D75" i="3" s="1"/>
  <c r="D76" i="3" s="1"/>
  <c r="D77" i="3" s="1"/>
  <c r="D78" i="3" s="1"/>
  <c r="D79" i="3" s="1"/>
  <c r="D80" i="3" s="1"/>
  <c r="D81" i="3" s="1"/>
  <c r="D82" i="3" s="1"/>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4" i="3"/>
  <c r="D5" i="3" s="1"/>
  <c r="D6" i="3" s="1"/>
  <c r="D7" i="3" s="1"/>
  <c r="D8" i="3" s="1"/>
  <c r="D9" i="3" s="1"/>
  <c r="D10" i="3" s="1"/>
  <c r="D11" i="3" s="1"/>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D40" i="3" s="1"/>
  <c r="D41" i="3" s="1"/>
  <c r="D42" i="3" s="1"/>
  <c r="D43" i="3" s="1"/>
  <c r="D44" i="3" s="1"/>
  <c r="D45" i="3" s="1"/>
  <c r="D46" i="3" s="1"/>
  <c r="D47" i="3" s="1"/>
  <c r="D48" i="3" s="1"/>
  <c r="D49" i="3" s="1"/>
  <c r="D50" i="3" s="1"/>
  <c r="D51" i="3" s="1"/>
  <c r="D52" i="3" s="1"/>
  <c r="D53" i="3" s="1"/>
  <c r="D54" i="3" s="1"/>
  <c r="D55" i="3" s="1"/>
  <c r="D56" i="3" s="1"/>
  <c r="D57" i="3" s="1"/>
  <c r="D58" i="3" s="1"/>
  <c r="D59" i="3" s="1"/>
  <c r="D60" i="3" s="1"/>
  <c r="D61" i="3" s="1"/>
  <c r="D62" i="3" s="1"/>
  <c r="D63" i="3" s="1"/>
  <c r="D64" i="3" s="1"/>
  <c r="D65" i="3" s="1"/>
  <c r="D66" i="3" s="1"/>
  <c r="D67" i="3" s="1"/>
  <c r="D68" i="3" s="1"/>
  <c r="D69" i="3" s="1"/>
  <c r="D70" i="3" s="1"/>
  <c r="D252" i="3" s="1"/>
  <c r="A5" i="1" l="1"/>
  <c r="A6" i="1"/>
  <c r="A7" i="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4" i="1"/>
</calcChain>
</file>

<file path=xl/sharedStrings.xml><?xml version="1.0" encoding="utf-8"?>
<sst xmlns="http://schemas.openxmlformats.org/spreadsheetml/2006/main" count="957" uniqueCount="448">
  <si>
    <t>Eje Katún</t>
  </si>
  <si>
    <t>ODS**</t>
  </si>
  <si>
    <t>Prioridad Nacional de Desarrollo -PND</t>
  </si>
  <si>
    <t>Meta Estratégica de Desarrollo - MED</t>
  </si>
  <si>
    <t>RED 2020-2024</t>
  </si>
  <si>
    <t>PILAR PGG 2020-2024</t>
  </si>
  <si>
    <t>META PGG 2020-2024</t>
  </si>
  <si>
    <t>Bienestar para la Gente</t>
  </si>
  <si>
    <t>1.2.4.5.6.8.9.10.16</t>
  </si>
  <si>
    <t>1. Reducción de la pobreza y protección social</t>
  </si>
  <si>
    <t>MED 1 - Para 2030, potenciar y promover la inclusión social, económica y política de todos, independientemente de su edad, sexo, discapacidad, raza, etnia, origen, religión o situación económica u otra condición.</t>
  </si>
  <si>
    <t xml:space="preserve">RED 1. Para el 2024, se ha disminuido la pobreza y pobreza extrema con énfasis en los departamentos priorizados, en 27.8 puntos porcentuales. 
</t>
  </si>
  <si>
    <t>DESARROLLO SOCIAL</t>
  </si>
  <si>
    <t>M8- Para el año 2023 se ha incrementado la cantidad de recursos destinados a seguro agrícola para pequeños parcelarios a Q 35,000,000.0</t>
  </si>
  <si>
    <r>
      <t>M9- Para el año 2023 se ha incrementado el</t>
    </r>
    <r>
      <rPr>
        <b/>
        <u/>
        <sz val="16"/>
        <color theme="1"/>
        <rFont val="Candara"/>
        <family val="2"/>
      </rPr>
      <t xml:space="preserve"> </t>
    </r>
    <r>
      <rPr>
        <sz val="16"/>
        <color theme="1"/>
        <rFont val="Candara"/>
        <family val="2"/>
      </rPr>
      <t>monto de los créditos para emprendimientos de familias pobres a Q 200,000,000.0</t>
    </r>
  </si>
  <si>
    <t>RED 3. Para el 2024, se ha disminuido el déficit habitacional en 18 por ciento (De 2.07 millones de viviendas, considerando el crecimiento del déficit habitacional de 5 años,  a 1.7 millones de viviendas en 2024). (CIV</t>
  </si>
  <si>
    <r>
      <t>M27-Para el año 2023 se han</t>
    </r>
    <r>
      <rPr>
        <b/>
        <u/>
        <sz val="16"/>
        <color theme="1"/>
        <rFont val="Candara"/>
        <family val="2"/>
      </rPr>
      <t xml:space="preserve"> construido 100,000 viviendas</t>
    </r>
    <r>
      <rPr>
        <sz val="16"/>
        <color theme="1"/>
        <rFont val="Candara"/>
        <family val="2"/>
      </rPr>
      <t xml:space="preserve"> sociales</t>
    </r>
  </si>
  <si>
    <r>
      <t xml:space="preserve">M28-Para el año 2023 se ha creado el </t>
    </r>
    <r>
      <rPr>
        <b/>
        <u/>
        <sz val="16"/>
        <color theme="1"/>
        <rFont val="Candara"/>
        <family val="2"/>
      </rPr>
      <t>fondo de subsidios</t>
    </r>
    <r>
      <rPr>
        <sz val="16"/>
        <color theme="1"/>
        <rFont val="Candara"/>
        <family val="2"/>
      </rPr>
      <t xml:space="preserve"> para la construcción de vivienda social por un monto de Q. 2,500.0 millones</t>
    </r>
  </si>
  <si>
    <t xml:space="preserve">RED 1. Para el 2024, se ha disminuido la pobreza y pobreza extrema con énfasis en los departamentos priorizados, en 27.8 puntos porcentuales (Departamentos priorizados: Alta Verapaz, Sololá, Totonicapán, Huehuetenango, Quiché, Chiquimula) (MIDES-MINECO)                                                                                </t>
  </si>
  <si>
    <r>
      <t>M29-Para el año 2023</t>
    </r>
    <r>
      <rPr>
        <b/>
        <u/>
        <sz val="16"/>
        <color theme="1"/>
        <rFont val="Candara"/>
        <family val="2"/>
      </rPr>
      <t xml:space="preserve"> se redujo la pobreza</t>
    </r>
    <r>
      <rPr>
        <sz val="16"/>
        <color theme="1"/>
        <rFont val="Candara"/>
        <family val="2"/>
      </rPr>
      <t xml:space="preserve"> general en 9.3 puntos porcentuales</t>
    </r>
  </si>
  <si>
    <t xml:space="preserve"> RED 1. Para el 2024, se ha disminuido la pobreza y pobreza extrema con énfasis en los departamentos priorizados, en 27.8 puntos porcentuales (Departamentos priorizados: Alta Verapaz, Sololá, Totonicapán, Huehuetenango, Quiché, Chiquimula) (MIDES-MINECO)                                                                                </t>
  </si>
  <si>
    <t>M30-Para el año 2023 se redujo la pobreza extrema en 5 puntos porcentuales</t>
  </si>
  <si>
    <t>MED 2 - Implementar sistemas y medidas de protección social para todos nacionalmente apropiadas, incluidos pisos, y para el año 2030 lograr una cobertura sustancial de los pobres y los vulnerables.</t>
  </si>
  <si>
    <t>RED 4. Para el 2024,  se ha incrementado en 2,662,105 el número de personas con cobertura de programas sociales para personas en situación de pobreza y vulnerabilidad (De 734,181 en el 2018 a 2,662,105 a 2024). (MIDES,MINTRAB)</t>
  </si>
  <si>
    <r>
      <t xml:space="preserve">M31-Para el año 2023 </t>
    </r>
    <r>
      <rPr>
        <b/>
        <u/>
        <sz val="16"/>
        <color theme="1"/>
        <rFont val="Candara"/>
        <family val="2"/>
      </rPr>
      <t>se ha incrementado a 150,000 el número de familia</t>
    </r>
    <r>
      <rPr>
        <u/>
        <sz val="16"/>
        <color theme="1"/>
        <rFont val="Candara"/>
        <family val="2"/>
      </rPr>
      <t>s</t>
    </r>
    <r>
      <rPr>
        <sz val="16"/>
        <color theme="1"/>
        <rFont val="Candara"/>
        <family val="2"/>
      </rPr>
      <t xml:space="preserve"> atendidas por el programa de </t>
    </r>
    <r>
      <rPr>
        <b/>
        <u/>
        <sz val="16"/>
        <color theme="1"/>
        <rFont val="Candara"/>
        <family val="2"/>
      </rPr>
      <t>transferencias monetarias</t>
    </r>
  </si>
  <si>
    <r>
      <t xml:space="preserve">M32- Para el año 2023, se ha incrementado a 4.0 millones el </t>
    </r>
    <r>
      <rPr>
        <b/>
        <u/>
        <sz val="16"/>
        <color theme="1"/>
        <rFont val="Candara"/>
        <family val="2"/>
      </rPr>
      <t xml:space="preserve">número de raciones (desayunos y almuerzos) </t>
    </r>
    <r>
      <rPr>
        <sz val="16"/>
        <color theme="1"/>
        <rFont val="Candara"/>
        <family val="2"/>
      </rPr>
      <t>servidos en comedores sociales</t>
    </r>
  </si>
  <si>
    <t>M33-Para el año 2023 se ha incrementado en 6,000 el número de adultos mayores atendidos por el programa de pensiones</t>
  </si>
  <si>
    <t>3,4,8</t>
  </si>
  <si>
    <t>2. Acceso a Servicios de Salud</t>
  </si>
  <si>
    <t>MED 3- Lograr la cobertura sanitaria universal, en particular la protección contra los riesgos financieros, el acceso a servicios de salud, esenciales de calidad y el acceso a medicamentos y vacunas seguras, eficaces, asequibles y de calidad para todos.</t>
  </si>
  <si>
    <t>RED 5. Para el 2024, se ha disminuido la razón de mortalidad materna en 90 muertes por cada cien mil nacidos vivos  (De 108 muertes en 2018, a 90 muertes por cada cien mil nacidos vivos en 2024) (MSPAS)</t>
  </si>
  <si>
    <t>M20-Para el año 2023 se redujo la razón de mortalidad materna en 14.4 puntos porcentuales</t>
  </si>
  <si>
    <t>RED 6. Para el 2024, se ha disminuido la tasa de mortalidad en la niñez en 5 puntos por cada mil nacidos vivos; y, Para el 2024, se ha disminuido la prevalencia de desnutrición crónica en niñas y niños menores de cinco años en 13.23 puntos porcentuales (MSPAS, MIDES, SESAN, MAGA, IGSS)</t>
  </si>
  <si>
    <t>M21-Para el año 2023 se redujo la tasa de mortalidad infantil en 10 puntos porcentuales</t>
  </si>
  <si>
    <t>M22-Para el año 2023, se redujo el número de casos de morbilidad infantil en 5% anual</t>
  </si>
  <si>
    <t>M23-Para el año 2023 se ha incrementado el porcentaje de niñas y niños con esquema de vacunación completo en 9.6 puntos porcentuales</t>
  </si>
  <si>
    <t>M24-Para el año 2023, se ha incrementado en 4 unidades la red hospitalaria</t>
  </si>
  <si>
    <t>M25- Para el año 2023 se ha incrementado en 50 el número de centros de salud tipo A y B</t>
  </si>
  <si>
    <t>Recursos naturales hoy y para el futuro</t>
  </si>
  <si>
    <t>6, 7, 11, 12, 13, 14, 15</t>
  </si>
  <si>
    <t>3. Acceso al agua y gestión de los recursos naturales</t>
  </si>
  <si>
    <t>MED 4 - Para 2030, lograr la ordenación sostenible y el uso eficiente de los recursos naturales</t>
  </si>
  <si>
    <t xml:space="preserve">Para el 2024, se ha incrementado en 3.29 puntos porcentuales el índice de cobertura de energía eléctrica para uso domiciliar, a nivel nacional (De 92.96% en 2017 a 96.25% en 2024) </t>
  </si>
  <si>
    <t>ECONOMÍA, COMPETITIVIDAD Y PROSPERIDAD</t>
  </si>
  <si>
    <t xml:space="preserve">M5- Para el año 2023 se ha incrementado la proporción de la población con acceso a energía eléctrica a 93.50% </t>
  </si>
  <si>
    <t>MED 5- Para 2020, promover la ordenación sostenible de todos los tipos de bosques, poner fin a la deforestación, recuperar los bosques degradados e incrementar la forestación y la reforestación a nivel de país.</t>
  </si>
  <si>
    <t>3. Acceso al agua y gestión de RRNN</t>
  </si>
  <si>
    <t>MED 5-Para 2020, promover la ordenación sostenible de todos los tipos de bosques, poner fin a la deforestación, recuperar los bosques degradados e incrementar la forestación y la reforestación a nivel de país.</t>
  </si>
  <si>
    <t>RED 8- Para el 2024, se ha incrementado la cobertura forestal a 33.7 por ciento a nivel nacional  (33.0% en 2016)</t>
  </si>
  <si>
    <t>ESTADO RESPONSABLE, TRANSPARENTE Y EFECTIVO</t>
  </si>
  <si>
    <t>M46- Para el año 2023 la superficie terrestre cubierta con cobertura forestal se ubica en 33.7%</t>
  </si>
  <si>
    <t>Riqueza para todas y todos</t>
  </si>
  <si>
    <t>8,9,16</t>
  </si>
  <si>
    <t>4. Empleo e Inversión</t>
  </si>
  <si>
    <t>MED 6 - En 2032, el crecimiento del PIB real ha sido paulatino y sostenido, hasta alcanzar una tasa no menor del 5.4%: a) Rango entre 3.4 y 4.4% en el quinquenio 2015-2020, b) Rango entre 4.4 y 5.4% en el quinquenio 2021-2025, c) no menor del 5.4 en los siguientes años, hasta llegar a 2032.</t>
  </si>
  <si>
    <t>M1- Para el año 2023 se ha incrementado en 2.60 puntos porcentuales la tasa de crecimiento del PIB real</t>
  </si>
  <si>
    <t>M2- Para el año 2023 el país ocupa la posición 85 en el ranking del índice de competitividad global</t>
  </si>
  <si>
    <t>M3-Para el año 2023 el país ocupa la posición 88 en el ranking del Doing Business</t>
  </si>
  <si>
    <t>MED 6 - Se ha reducido la precariedad laboral mediante la generación de empleos decentes y de calidad. a) Disminución gradual de la tasa de subempleo a partir del último dato disponible: 16.9% b) Disminución gradual de la informalidad a partir del último dato disponible: 69.2%. c) disminución gradual de la tasa de desempleo a partir del último dato disponible: 3.2%. d) Eliminación del porcentaje de trabajadores que viven en pobreza extrema.</t>
  </si>
  <si>
    <t>RED 11 - Para el 2024, se ha incrementado la formalidad del empleo en 5.8 puntos porcentuales
(De 30.5% en 2018  a 36.30% en 2024)</t>
  </si>
  <si>
    <t>M4- Para el año 2023 se redujo la tasa de informalidad del empleo en 6 puntos porcentuales</t>
  </si>
  <si>
    <t>RED 22 - Para el 2024, se ha incrementado en 3.5 puntos porcentuales, la tasa de crecimiento del PIB (De 3.1% en 2018 a 3.5% en 2024)</t>
  </si>
  <si>
    <t>M6- Para el año 2023 se mejoró en un punto porcentual el índice de solvencia del sistema bancario</t>
  </si>
  <si>
    <t>M7- Para el año 2023 se incrementó en 3.1 puntos porcentuales el margen de solvencia de las aseguradoras</t>
  </si>
  <si>
    <t>MED 8 - Para 2030, elaborar y poner en práctica políticas encaminadas a promover un turismo sostenible que cree puestos de trabajo y promueva la cultura y los productos locales.</t>
  </si>
  <si>
    <t>RED 10 - Para el 2024, se ha mantenido en 3.5 de calificación del índice de competitividad turística 
(de 3.5 en la edición 2017 del foro económico mundial).</t>
  </si>
  <si>
    <t>RELACIONES CON EL MUNDO</t>
  </si>
  <si>
    <t>M49-Para el año 2023 se ha completado el impulso de la marca país</t>
  </si>
  <si>
    <t>M50-Para el año 2023 se ha mejorado la calificación el índice de competitividad turística en 0.6 puntos porcentuales</t>
  </si>
  <si>
    <t>Bienestar para la gente</t>
  </si>
  <si>
    <t>2,12,15</t>
  </si>
  <si>
    <t>5. Seguridad alimentaria y nutricional</t>
  </si>
  <si>
    <t>MED 9 - Para el año 2032, reducir en no menos de 25 puntos porcentuales la desnutrición crónica en niños y niñas menores de cinco años de los pueblos Maya, Xinka y Garífuna, y la no indígena con énfasis en el área rural.</t>
  </si>
  <si>
    <t>M26-Para el año 2023 se redujo la tasa desnutrición crónica en 7 puntos porcentuales</t>
  </si>
  <si>
    <t>Estado garante de los derechos humanos y conductor del desarrollo</t>
  </si>
  <si>
    <t>1,10,11,16</t>
  </si>
  <si>
    <t>7. Fortalecimiento Institucional, seguridad y justicia</t>
  </si>
  <si>
    <t>MED 12- Crear instituciones eficaces, responsables y transparentes a todos los niveles</t>
  </si>
  <si>
    <t>M34- Para el año 2023 se ha incrementado en Q 17.0 millones el monto asignado al fondo social para la atención a desastres</t>
  </si>
  <si>
    <t>GOBERNABILIDAD Y SEGURIDAD EN DESARROLLO</t>
  </si>
  <si>
    <t>M35-Para el año 2023 se ha reducido el índice de criminalidad en 20 puntos porcentuales</t>
  </si>
  <si>
    <t>RED 12-Para el 2024, se ha disminuido la tasa de homicidios en 11 puntos (De 21.5 en 2019 a 10.5  por cada cien mil habitantes en 2024)</t>
  </si>
  <si>
    <t xml:space="preserve">M36-Para el año 2023 se ha reducido la tasa de homicidios en 8.8 puntos porcentuales  </t>
  </si>
  <si>
    <t>M37-Para el año 2023 se ha incrementado en 4 el número de centros penitenciarios</t>
  </si>
  <si>
    <t>M38- Para el año 2023 se han conformado 340 organizaciones comunitarias de prevención</t>
  </si>
  <si>
    <t>M39-Para el año 2023 se cuenta con un sistema de inteligencia reformado</t>
  </si>
  <si>
    <t>M40-Para el año 2023 se ha incrementado en 5,000 el número de agentes de la Policía Nacional Civil</t>
  </si>
  <si>
    <t>RED 13- Para el 2024, se ha disminuido en 26 puntos la tasa de delitos cometidos contra el patrimonio de las personas</t>
  </si>
  <si>
    <t xml:space="preserve">RED 14-Para el 2024, se ha disminuido el porcentaje de  hechos de tránsito en 16 puntos porcentuales 
(De 87% de hechos de tránsito en 2019 a 71% en 2024)
</t>
  </si>
  <si>
    <t>RED 15-Para el 2024, se ha disminuido el porcentaje de  extorsiones  en 5 puntos porcentuales</t>
  </si>
  <si>
    <t xml:space="preserve">RED 16-Para el 2024, se ha disminuido la violencia intrafamiliar en 20 puntos porcentuales  </t>
  </si>
  <si>
    <t>M41: Para el año 2023 los 14 ministerios del Estado cuentan con programa E-goverment</t>
  </si>
  <si>
    <t>M42 -Para el año 2023 se ha implementado la estrategia de descentralización en la gestión pública</t>
  </si>
  <si>
    <t>M43 - Para el año 2023 se ha implementado el Sistema Nacional de Planificación</t>
  </si>
  <si>
    <t>M45- Para el año 2023 se implementado la agenda legislativa en apoyo de la Política General de Gobierno (58 iniciativas de Ley presentadas al Congreso de la República)</t>
  </si>
  <si>
    <t>M47 -Para el año 2023 se ha implementado la estrategia de atención a migrantes en Estados Unidos</t>
  </si>
  <si>
    <t>M48- Para el 2023 se ha incrementado en 8 el número de consulados en Estados Unidos</t>
  </si>
  <si>
    <t>4,8,9,16</t>
  </si>
  <si>
    <t>8. Educación</t>
  </si>
  <si>
    <t>MED 13 - Para 2030, velar porque todas las niñas y todos los niños tengan una enseñanza primaria y secundaria completa, gratuita, equitativa y de calidad que produzca resultados de aprendizajes pertinentes y efectivos.</t>
  </si>
  <si>
    <t>M10-Para el año 2023 se ha incrementado la tasa neta de cobertura en el nivel preprimario en 12 puntos porcentuales</t>
  </si>
  <si>
    <t>RED 17. Para el 2024, se incrementó en 4.6 puntos porcentuales la población que alcanza el nivel de lectura y en 3.53 puntos porcentuales la población que alcanza el nivel de matemática en niños y niñas del sexto grado del nivel primario, (de 40.40% en lectura en 2014 a 45 % a 2024 y de 44.47% en matemática a 48% a 2024)</t>
  </si>
  <si>
    <t>M11-Para el año 2023 se ha incrementado la tasa neta de cobertura en el nivel primario en 17 puntos porcentuales</t>
  </si>
  <si>
    <t>RED 18. Para el 2024, se incrementó en 05 puntos porcentuales la población que alcanza el nivel de lectura y en 03 puntos porcentuales la población que alcanza el nivel de matemática en jóvenes del tercer grado del ciclo básico del nivel medio, (de 15% en lectura en 2013 a 20% a 2024 y de 18% en matemática a 21% a 2024)</t>
  </si>
  <si>
    <t>M12-Para el año 2023 se ha incrementado la tasa neta de cobertura en el nivel básico en 17 puntos porcentuales</t>
  </si>
  <si>
    <t>M13-Para el año 2023 se ha incrementado la tasa neta de cobertura en el nivel diversificado en 11 puntos porcentuales</t>
  </si>
  <si>
    <t>RED 2. Para el 2024, se ha  reducido el analfabetismo en 9.3 puntos porcentuales  a nivel nacional (De 12.3% en 2016 a 3.0% en 2024) (CONALFA)</t>
  </si>
  <si>
    <t>M14-Para el año 2023 se redujo el porcentaje de la población analfabeta en 5.09 puntos porcentuales</t>
  </si>
  <si>
    <t>M15-Para el año 2023 se ha incrementado la cobertura de seguro médico escolar a 3 millones de niños</t>
  </si>
  <si>
    <t>M16-Para el año 2023 se ha incrementado la inversión en servicios de alimentación escolar en Q 830.4 millones</t>
  </si>
  <si>
    <t>M17-Para el año 2023 se ha incrementado la cantidad de becas escolares para estudiantes del nivel básico y diversificado en 19,579</t>
  </si>
  <si>
    <t>M18-Para el año 2023 se ha incrementado el número de maestros graduados de licenciatura en 8,610</t>
  </si>
  <si>
    <t>M19-Para el año 2023 se ha incrementado en 8,000 el número de maestros</t>
  </si>
  <si>
    <t>1,2,3,4,5,8,17</t>
  </si>
  <si>
    <t>9. Reforma fiscal integral</t>
  </si>
  <si>
    <t>MED 14 -Reforma fiscal integral: La carga tributaria ha superado el nivel observado en 2017 (12.1%), y el gasto social ha superado el nivel del 7% del PIB, obtenido en 2010.</t>
  </si>
  <si>
    <t>ECONOMÍA, COMPETITIVIDAD Y PROSPERIDAD / ESTADO RESPONSABLE TRANSPARENTE Y EFECTIVO</t>
  </si>
  <si>
    <t>Guatemala urbana y rural</t>
  </si>
  <si>
    <t>9, 10, 11, 12</t>
  </si>
  <si>
    <t>10. Ordenamiento Territorial</t>
  </si>
  <si>
    <t xml:space="preserve">MED 15- El 100% de los municipios cuenta con planes de ordenamiento territorial integral que se implementan satisfactoriamente </t>
  </si>
  <si>
    <t>M44- Para el año 2023 la totalidad de municipios implementan su plan de ordenamiento territorial</t>
  </si>
  <si>
    <t>MED 16- En 2032, los gobiernos municipales alcanzan una mayor capacidad de gestión para atender las necesidades y demandas de la ciudadanía.</t>
  </si>
  <si>
    <t>Sin RED vinculado</t>
  </si>
  <si>
    <t xml:space="preserve">
RED 22 - Para el 2024, se ha incrementado en 3.5 puntos porcentuales, la tasa de crecimiento del PIB (De 3.1% en 2018 a 3.5% en 2024)</t>
  </si>
  <si>
    <t>No.</t>
  </si>
  <si>
    <t>OPCIÓN No. 1 RESULTADO VINCULADO A METAS PGG</t>
  </si>
  <si>
    <t>OBJETIVO SECTORIAL PGG 2020-2024</t>
  </si>
  <si>
    <t>4.2DESARROLLO SOCIAL</t>
  </si>
  <si>
    <t>4.2 DESARROLLO SOCIAL</t>
  </si>
  <si>
    <t xml:space="preserve">RED 1. Para el 2024, se ha disminuido la pobreza y pobreza extrema con énfasis en los departamentos priorizados, en 27.8 puntos porcentuales (Departamentos priorizados: Alta Verapaz, Sololá, Totonicapán, Huehuetenango, Quiché, Chiquimula) (MIDES-MINECO)   </t>
  </si>
  <si>
    <t>4.2.2.1 Mejorar la calidad de vida de los guatemaltecos, especialmente de los grupos
más vulnerables y familias que se encuentran en estado de pobreza y pobreza extrema, por medio de la provisión y facilitación efectiva y oportuna de la infraestructura social priorizada en educación, salud, nutrición y vivienda popular. (Acciones en materia de Educación)</t>
  </si>
  <si>
    <t>4.2 Desarrollo social</t>
  </si>
  <si>
    <t>4.2.2.1 Mejorar la calidad de vida de los guatemaltecos, especialmente de los grupos
más vulnerables y familias que se encuentran en estado de pobreza y pobreza extrema, por medio de la provisión y facilitación efectiva y oportuna de la infraestructura social priorizada en educación, salud, nutrición y vivienda popular. (Acciones en materia de Vivienda)</t>
  </si>
  <si>
    <t>4.2.2.3 Desarrollar y estimular la formación y las capacidades productivas de las familias en estado de pobreza y pobreza extrema asentadas en el área rural y áreas marginales de las zonas urbanas, por medio de programas de desarrollo productivo integrales para generar oportunidades de empleo</t>
  </si>
  <si>
    <t xml:space="preserve">4.2.2.1 Mejorar la calidad de vida de los guatemaltecos, especialmente de los grupos más vulnerables y familias que se encuentran en estado de pobreza y pobreza extrema, por medio de la provisión y facilitación efectiva y oportuna de la infraestructura social priorizada en educación, salud, nutrición y vivienda popular. (Acciones en materia de SALUD) </t>
  </si>
  <si>
    <t>4.4.2.6. Propiciar el fomento del desarrollo social, cultural, económico y territorial en un entorno que sea amigable con el medio ambiente, de tal manera que se garantice su sostenibilidad tanto para las presentes generaciones como para las futuras.</t>
  </si>
  <si>
    <t>4.4 Estado responsable, transparente y efectivo</t>
  </si>
  <si>
    <t>4.5.2.6 Promover la imagen y marca país en el exterior</t>
  </si>
  <si>
    <t>4.5 RELACIONES CON EL MUNDO</t>
  </si>
  <si>
    <t>4.1.2.8 Propiciar una base de infraestructura estratégica funcional para apoyar la
actividad económica y la generación de empleo</t>
  </si>
  <si>
    <t>4.1 ECONOMÍA, COMPETITIVIDAD Y PROSPERIDAD</t>
  </si>
  <si>
    <t>4.3.2.3 Propiciar la disminución de la comisión de delitos, impulsando programas de prevención e instancias de resolución de conflictos.</t>
  </si>
  <si>
    <t>4.3 GOBERNABILIDAD Y SEGURIDAD EN DESARROLLO</t>
  </si>
  <si>
    <t xml:space="preserve">Mejorar la calidad de vida de los guatemaltecos, especialmente de los grupos más vulnerables y familias que se encuentran en estado de pobreza y pobreza extrema, por medio de la provisión y facilitación efectiva y oportuna de la infraestructura social priorizada en educación. (Acciones en materia de EDUCACIÓN) </t>
  </si>
  <si>
    <t>4.4.2.5. Propiciar el fomento del desarrollo social, cultural, económico y territorial en un entorno que sea amigable con el medio ambiente, de tal manera que se garantice su sostenibilidad tanto para las presentes generaciones como para las futuras</t>
  </si>
  <si>
    <t>4.4 ESTADO RESPONSABLE, TRANSPARENTE Y EFECTIVO</t>
  </si>
  <si>
    <t>4.1.2.4 Impulsar el desarrollo de fuentes de energía renovable y no renovable compatibles con la conservación del medio ambiente</t>
  </si>
  <si>
    <t xml:space="preserve">
RED 19 -Para el 2024, se han disminuido en 7 puntos porcentuales los embarazos en niñas y adolescentes (De 18% en 2016 a 11% en 2032).</t>
  </si>
  <si>
    <t xml:space="preserve">
RED 20- Para el 2024 se ha disminuido en 25 por cientos el consumo excedente de leña a nivel nacional (De 5,725,290 toneladas en 2018 a 4,293,967.5 toneladas en 2024).</t>
  </si>
  <si>
    <t xml:space="preserve">
RED 20.Para el 2024, se ha incrementado en 21 puntos porcentuales el  acceso a saneamiento básico en los hogares guatemaltecos  
(De 53.3% en 2014 a 74.3% en 2024).</t>
  </si>
  <si>
    <t>4.2.2.1 Mejorar la calidad de vida de los guatemaltecos, especialmente de los grupos más vulnerables y familias que se encuentran en estado de pobreza y pobreza extrema, por medio de la provisión y facilitación efectiva y oportuna de la infraestructura social priorizada en educación, salud, nutrición y vivienda popular.</t>
  </si>
  <si>
    <t>4.2 ECONOMÍA, COMPETITIVIDAD Y PROSPERIDAD</t>
  </si>
  <si>
    <t>OPCIÓN No. 2 RESULTADO INSTITUCIONAL VINCULADO A OBJETIVOS SECTORIALES PGG</t>
  </si>
  <si>
    <r>
      <rPr>
        <b/>
        <sz val="16"/>
        <color theme="1"/>
        <rFont val="Calibri"/>
        <family val="2"/>
        <scheme val="minor"/>
      </rPr>
      <t xml:space="preserve">No Presupuestable </t>
    </r>
    <r>
      <rPr>
        <sz val="16"/>
        <color theme="1"/>
        <rFont val="Calibri"/>
        <family val="2"/>
        <scheme val="minor"/>
      </rPr>
      <t xml:space="preserve">
RED 23. Para el 2024, se ha incrementado la carga tributaria en 0.8 puntos porcentuales y el gasto social en 0.4 puntos porcentuales (de 10.2 en 2018 a 11.0 en 2024).</t>
    </r>
  </si>
  <si>
    <r>
      <rPr>
        <b/>
        <sz val="16"/>
        <color theme="1"/>
        <rFont val="Calibri"/>
        <family val="2"/>
        <scheme val="minor"/>
      </rPr>
      <t>No Presupuestable</t>
    </r>
    <r>
      <rPr>
        <sz val="16"/>
        <color theme="1"/>
        <rFont val="Calibri"/>
        <family val="2"/>
        <scheme val="minor"/>
      </rPr>
      <t xml:space="preserve">
RED 24. Para el 2024, se ha incrementado en 36 puntos porcentuales los gobiernos locales que mejoran la gestión municipal en función de sus competencias (De 14% en categorías media a alta en 2016 a 50% en 2024, según el Ranking de la gestión municipal).</t>
    </r>
  </si>
  <si>
    <t>4.1 Economía, competitividad y prosperidad</t>
  </si>
  <si>
    <t>PILAR</t>
  </si>
  <si>
    <t>OBJETIVO SECTORIAL</t>
  </si>
  <si>
    <t>ACCIÓN ESTRATEGICA</t>
  </si>
  <si>
    <t>4.1.2.1 Generar las condiciones adecuadas y buen clima de negocios para propiciar el aumento de la inversión y la mejora en los niveles de competitividad</t>
  </si>
  <si>
    <t>Fomentar la creación de empleo formal y digno, como principal mecanismo de
protección social que contribuya con la reducción de la pobreza y pobreza extrema,
con énfasis en los grupos vulnerables, los jóvenes y las mujeres.</t>
  </si>
  <si>
    <t>Fortalecer el mejoramiento de la productividad y competitividad sin menoscabo de los derechos humanos y el uso racional de los recursos naturales.</t>
  </si>
  <si>
    <t>Impulsar proyectos de inversión con el apoyo del Gobierno, en el marco de una política de alianzas público-privados, las concesiones de obra pública y la inversión por medio del leasing público, para ello deberá fortalecerse la Agencia Nacional de Alianzas para el Desarrollo de Infraestructura Económica. La utilización de los recursos naturales deberá hacerse buscando un equilibrio entre el desarrollo y el medio ambiente, así como el respeto a las comunidades conforme a la ley.</t>
  </si>
  <si>
    <t>Crear un marco amigable, esquemas e instrumentos técnicos y jurídicos para facilitar la inversión a los agentes económicos. Dentro del componente jurídico se destacan las siguientes leyes: Competencias, inversión y empleo, silencio administrativo a la inversa, insolvencias y quiebra, leasing público, mercado de valores y capitales y de tarjetas de crédito.</t>
  </si>
  <si>
    <t>Mejorar las capacidades del recurso humano mediante la ampliación de la cobertura del INTECAP, el aprendizaje del idioma inglés, el impulso de carreras técnicas y de formación vocacional en coordinación con la Universidad de San Carlos de Guatemala.</t>
  </si>
  <si>
    <t>Propiciar condiciones adecuadas para atraer inversión intensiva en mano de obra conforme al modelo de desarrollo establecido en esta Política, con un contenido alto de conocimiento y que tengan el menor impacto sobre el ambiente y los recursos naturales, entre otros.</t>
  </si>
  <si>
    <t>4.1.2.2 Propiciar el incremento de las exportaciones por medio del impulso de un modelo exportador</t>
  </si>
  <si>
    <t>Fortalecer la legislación e institucionalidad para facilitar las exportaciones para
ello se impulsará el funcionamiento del Consejo Nacional para las Exportaciones
(CONAPEX); se facilitarán los procesos mediante el fortalecimiento de la ventanilla
única, la facilitación de los trámites para la obtención de permisos, licencias y la
gestión de los asuntos tributarios; el funcionamiento de la infraestructura relacionada con puertos, aeropuertos y zonas fronterizas con el objeto de fomentar el comercio exterior; así como, la provisión de información estratégica a los empresarios sobre la demanda de bienes y servicios en el exterior.</t>
  </si>
  <si>
    <t>Mejorar los incentivos para propiciar la inversión en el sector exportador para su
impulso tales como: acceso al crédito en condiciones blandas; la revisión del marco
de incentivos fiscales a las exportaciones; la devolución del crédito fiscal; incentivos al sector forestal; la implementación de una política cambiaria acorde con el modelo exportador y el impulso de zonas francas, recintos aduaneros, centros y corredores logísticos y almacenes de depósito.</t>
  </si>
  <si>
    <t>A través del nuevo modelo exportador se promoverán las misiones y ferias comerciales en países seleccionados; así como, la promoción de las exportaciones y la inteligencia de mercados.</t>
  </si>
  <si>
    <t>Generar los instrumentos que propicien el aumento de las exportaciones tales
como: la suscripción de nuevos acuerdos comerciales, la gestión adecuada de los
acuerdos suscritos y la consolidación de la unión aduanera. Así como, la promoción
de encadenamientos productivos entre las micro, pequeñas y medianas empresas
con las empresas exportadoras.</t>
  </si>
  <si>
    <t>Impulsar un marco jurídico y sus instrumentos que facilite el comercio exterior e
incremente las exportaciones.</t>
  </si>
  <si>
    <t>4.1.2.3 Desarrollar las condiciones para el impulso y fortalecimiento de las MIPYMES y del sector Cooperativista</t>
  </si>
  <si>
    <t>Impulsar el mejoramiento del capital humano de los sectores MIPYME y cooperativo mediante el impulso de la cobertura del INTECAP, acompañado por una estrategia de apoyo financiero, técnico; la puesta en marcha de programas de capacitación, asesoría y asistencia técnica; así como, una política de acceso a las tecnologías, redes digitales e internet.</t>
  </si>
  <si>
    <t>Simplificar los trámites administrativos para el registro, modificación, operación
y cierre de las MIPYME, el pago de impuestos, la gestión tributaria, la emisión de
permisos y licencias. En el ámbito cooperativo se promoverá el fortalecimiento del
INACOP e INGECOP y la revisión de los incentivos fiscales.</t>
  </si>
  <si>
    <t>Estimular el crecimiento y desarrollo del sector cooperativista y de las MIPYMES,
mediante la asistencia financiera y técnica; la creación de instrumentos que fomenten el sector tales como: GuateCrédito, GuateEmprende y GuateInvierte; y, la generación de oportunidades de negocios mediante el fomento de su participación como proveedores del Estado.</t>
  </si>
  <si>
    <t>Fortalecer la infraestructura rural de apoyo a la MIPYME mediante la construcción
de caminos rurales, la ampliación de la red de sistemas de riego, centros de acopio
y la creación de las agencias regionales de desarrollo de las MIPYMES; así como,
el fomento de la productividad agrícola mediante la provisión de asistencia técnica, capacitación, acceso al crédito y tecnología.</t>
  </si>
  <si>
    <t>Impulsar un marco jurídico que propicie el crecimiento de las empresas como: la
revisión de leyes tributarias que faciliten la creación, modificación, operación y cierre de empresas; la revisión del régimen tributario, la modificación del órgano regulador y supervisor de las cooperativas, la ampliación de la Ley de Bancos y Grupos Financieros, entre otros.</t>
  </si>
  <si>
    <t>Fortalecer la legislación e institucionalidad para promover la explotación ambientalmente sostenible de fuentes de energía.</t>
  </si>
  <si>
    <t>Continuar con el aumento de la energía limpia y renovable en la matriz energética
nacional.</t>
  </si>
  <si>
    <t>Identificar alternativas energéticas ambientalmente sostenibles para enfrentar el
suministro hidroeléctrico.</t>
  </si>
  <si>
    <t>Ampliar la cobertura del servicio de energía eléctrica a la población guatemalteca,
con énfasis en la población que habita en el área rural.</t>
  </si>
  <si>
    <t>Promover la reducción en el consumo de leña con el objeto de preservar la cobertura forestal y mejorar las condiciones de salud de las personas.</t>
  </si>
  <si>
    <t>Cumplir con la reducción de Gases de Efecto Invernadero (GEI) del Compromiso
Nacionalmente Determinado (NDC por sus siglas en inglés) presentado ante el
Acuerdo de París en septiembre de 2015.</t>
  </si>
  <si>
    <t>4.1.2.5 Promover una agenda minera pertinente socialmente y compatible con la conservación del medio ambiente</t>
  </si>
  <si>
    <t>Realizar estudios sobre la viabilidad social, económica y ambiental de la industria
minera en el país.</t>
  </si>
  <si>
    <t>Priorizar las actividades mineras de conformidad con su rentabilidad, económica,
social y ambiental.</t>
  </si>
  <si>
    <t>Mejorar los ingresos provenientes de las regalías de conformidad con los estándares
internacionales y orientar su uso hacia procesos de desarrollo sostenible.</t>
  </si>
  <si>
    <t>Velar por el cumplimiento de las normas y reglamentos internacionales que permiten la actividad minera sin menoscabar los recursos naturales y en beneficio de las comunidades rurales vecinas.</t>
  </si>
  <si>
    <t>4.1.2.6 Aprovechar las condiciones del país para incrementar el turismo, impulsando una estrategia de Estado juntamente con el sector privado</t>
  </si>
  <si>
    <t>Fortalecer las instituciones rectoras del turismo mediante el impulso del Plan Maestro para el Turismo Sostenible, la creación del Gabinete de Turismo y la creación del Viceministerio de Turismo en el MINEX acorde con su nueva visión de trabajo.</t>
  </si>
  <si>
    <t>Impulsar acciones para potenciar el sector turístico por medio del mantenimiento
de los centros turísticos, las vías de acceso y la señalización, el fortalecimiento
de la seguridad turística, la mejora de la infraestructura aeroportuaria y las zonas
fronterizas. Así como, el impulso de nuevos clúster de turismo, como el ecológico; y,
el ingreso de MIPYMES de turismo.</t>
  </si>
  <si>
    <t>Promocionar activamente al país en el exterior, mediante el diseño e implementación de una estrategia de marketing integral turístico, la diversificación de la oferta turística y el impulso del sistema nacional de información turística.</t>
  </si>
  <si>
    <t>Generar condiciones para atraer al turismo por medio de alianzas estratégicas entre
las instituciones responsables y el sector privado, la implementación de programas
de capacitación y el establecimiento de estándares de calidad.</t>
  </si>
  <si>
    <t>Incentivar el turismo interno mediante la revisión de feriados y asuetos, la diversificación de la oferta turística, el intercambio estudiantil y el acceso a créditos para el fomento del turismo familiar.Impulsar un marco jurídico que propicie el crecimiento del sector por medio de la creación de las Leyes de incentivos fiscales para el sector; atracción de inversiones, empleo y productividad y del Organismo Ejecutivo en cuanto al nuevo enfoque del MINX; así como, la revisión de la normativa administrativa.</t>
  </si>
  <si>
    <t>4.1.2.7 Mantener estable la macroeconomía y el sistema financiero</t>
  </si>
  <si>
    <t>Coadyuvar a mantener el poder adquisitivo de nuestra moneda mediante el
mantenimiento de la estrategia de metas explicitas de inflación, el fortalecimiento de los mecanismos de transmisión de la política monetaria, la independencia del Banco Central y el fortalecimiento del Instituto Nacional de Estadística.</t>
  </si>
  <si>
    <t>Mantener la estabilidad del sistema financiero, acción que demanda el fortalecimiento de la regulación y normativa prudencial en materia de riesgos, la aplicación de estándares internacionales de supervisión, la implementación de buenas prácticas de gobierno corporativo y la efectiva gestión de riesgos en el sistema financiero. Así como, el fortalecimiento de esquemas de prevención de lavado de activos y financiamiento del terrorismo y la creación del comité de estabilidad financiera.</t>
  </si>
  <si>
    <t>Coordinar de manera efectiva las instituciones económicas del sector público, para ello el Gabinete Económico será la instancia encargada de dictar la estrategia económica. Se creará la instancia para la solución de barreras a la actividad económica, integrada por representantes del sector público y privado.</t>
  </si>
  <si>
    <t>Articular la política macroeconómica y a la financiera a los objetivos de desarrollo
económico, social y ambiental del país.</t>
  </si>
  <si>
    <t>4.1.2.8 Propiciar una base de infraestructura estratégica funcional para apoyar la actividad económica y la generación de empleo</t>
  </si>
  <si>
    <t>Alineación de la institucionalidad encargada del desarrollo de la infraestructura
estratégica, requiere la realización de un diagnóstico del estado de la infraestructura
del país con el propósito de priorizar la inversión; el impulso de la política de
generación de energía limpia mediante el uso de las cuencas apropiadas y el impulso
de la política de telecomunicaciones.</t>
  </si>
  <si>
    <t>Mantener en buenas condiciones la red vial estratégica que comunica a puertos y
zonas fronterizas, así como, las carreteras que comunican a los principales centros
turísticos del país. Se propiciará la concesión del servicio público y de carga de los
ferrocarriles y derechos de vía que conecten los puertos y zonas fronterizas, en este
sentido, se impulsará la construcción del anillo metropolitano.</t>
  </si>
  <si>
    <t>Eficientar la gestión de los puertos y aeropuertos mediante el estudio que promueva la viabilidad en la concesión de la administración del Aeropuerto la Aurora, de Puerto Quetzal, Santo Tomás de Castilla y Puerto Barrios.</t>
  </si>
  <si>
    <t>Hacer más fluidas las zonas fronterizas mediante la apertura de oficinas públicas en
las fronteras con el objeto de hacer más eficiente los procesos.</t>
  </si>
  <si>
    <t>Apoyar la infraestructura rural mediante el impulso de la estrategia nacional de
inversión en el área rural en coordinación con los actores públicos locales, en áreas
de agua potable y saneamiento ambiental. Por medio de leasing público se promoverá la construcción de escuelas, centros de salud, comisarías y centros de recreación. Para el fomento de la actividad productiva rural se deberá invertir en sistemas de riego y la construcción de carreteras y caminos vecinales.</t>
  </si>
  <si>
    <t>Propiciar la construcción de vivienda popular y para la clase media de bajo costo
mediante la provisión de financiamiento en condiciones blandas, para ello, se deberá fortalecer el Instituto de Fomento de Hipotecas Aseguradas y El Crédito Hipotecario Nacional.</t>
  </si>
  <si>
    <t>Desarrollar infraestructura de riego para la actividad agrícola en zonas priorizadas.</t>
  </si>
  <si>
    <t>4.1.2.9 Promover el Plan Nacional de Riego de manera sostenible para mejorar la productividad</t>
  </si>
  <si>
    <t>Realizar inversiones estratégicas de creación, ampliación y reconstrucción de
sistemas de riego para la productividad agraria y seguridad alimentaria, con énfasis
en la agricultura de subsistencia y excedentaria, en el marco de la Agenda regional
de desarrollo de la MIPYME.</t>
  </si>
  <si>
    <t>Implementar el Plan Nacional de Riego de manera sostenible para la productividad.</t>
  </si>
  <si>
    <t>Conservar, proteger y restaurar las zonas de captación y regulación hidrológica.</t>
  </si>
  <si>
    <t>Promover el uso eficiente de agua de riego proveniente de fuentes superficiales y
subterráneas.</t>
  </si>
  <si>
    <t>Reforestar las cuencas hidrográficas para mejorar la afluencia de lluvias.</t>
  </si>
  <si>
    <t>4.1.2.10 Fomentar la producción y comercialización agrícola sostenible</t>
  </si>
  <si>
    <t>Fortalecer la legislación e institucionalidad para facilitar las exportaciones a pequeños productores.</t>
  </si>
  <si>
    <t>Promover el acceso a paquetes tecnológicos para el desarrollo de la actividad agrícola sostenible en el área rural.</t>
  </si>
  <si>
    <t>Crear el programa de comercialización de los productos directos de los propios
centros de producción agrícola.</t>
  </si>
  <si>
    <t>Impulsar centros de producción agrícola y la agricultura familiar para la seguridad
alimentaria y nutricional; así como, la producción de alimentos, principalmente para
el autoconsumo y subsistencia en zonas prioritarias como el caso del “corredor seco”.</t>
  </si>
  <si>
    <t>Promover un programa de alto rendimiento por uso eficiente de las tierras productivas incluyendo comunitarias a nivel de parcelas y micro parcelas.</t>
  </si>
  <si>
    <t>Fomentar un programa de fertilización, utilización de semillas mejoradas y la agricultura inteligente con el objeto de mejorar la adaptación al cambio climático.</t>
  </si>
  <si>
    <t>Impulsar un programa de mejoramiento de la cosecha de frijol y maíz.</t>
  </si>
  <si>
    <t>Facilitar el acceso al financiamiento, capital semilla, para el trabajo en la producción
agrícola, la tierra y los recursos naturales.</t>
  </si>
  <si>
    <t>Crear un programa de producción agrícola y pecuaria para la generación de excedentes en el área rural.</t>
  </si>
  <si>
    <t>Desarrollar encadenamientos productivos dirigidos a pequeños productores.</t>
  </si>
  <si>
    <t>4.1.2.11 Promover el desarrollo económico rural sostenible</t>
  </si>
  <si>
    <t>Implementar una estrategia de desarrollo económico rural integral.</t>
  </si>
  <si>
    <t>Implementar un programa de reactivación de la economía rural, mediante la producción agrícola sostenible, dirigida a los micro y pequeños productores.</t>
  </si>
  <si>
    <t>4.1.2.12 Fortalecer la situación financiera del Estado y priorizar el gasto e inversión</t>
  </si>
  <si>
    <t>Incrementar la carga tributaria de manera significativa, para ello se requiere la
ampliación de la base tributaria, la implementación de un sistema simplificado de
tributación para la MIPYMES, la revisión de las leyes tributarias y los beneficios
fiscales; así como, la persecución frontal al contrabando y la defraudación tributaria,
la ampliación de la cobertura de la Administración Tributaria en todos los municipios
del país, la reducción de los trámites en la SAT, el impulso de la factura electrónica.
En materia de investigación se creará el sistema de inteligencia fiscal y la guarda de
hacienda orientada al control hacendario.</t>
  </si>
  <si>
    <t>Modernizar el sistema aduanero nacional con el objeto de incrementar el comercio
exterior del país, para ello, se requiere facilitar los procesos de exportación e
importación de mercancías, la prevalidación aduanera para las importaciones con
el objeto de hacer más eficiente la liquidación y salida de productos y el impulso de
la unión aduanera centroamericana. En materia de gestión se deberá impulsar un
sistema de vigilancia de los centros de recaudación y el fortalecimiento de la escuela
aduanera en la SAT para la preparación de funcionarios y agentes aduaneros.</t>
  </si>
  <si>
    <t>Priorizar el gasto público conforme al modelo de desarrollo propuesto en áreas
como: educación, salud, nutrición, infraestructura, seguridad y justicia. Se revisará
y evaluará los programas públicos con el objeto de eliminar aquellos que no sean
de interés social o que presenten resultados ineficientes. Se eliminarán los gastos
no esenciales como teléfonos, vehículos, combustible y viajes y se implementará
el registro nacional de trabajadores del sector público con el objeto de fortalecer la
Oficina Nacional del Servicio Civil. Se promoverá el equilibrio presupuestario que
contribuya al mantenimiento de la estabilidad macroeconómica.</t>
  </si>
  <si>
    <t>Orientar la inversión pública hacia áreas estratégicas que promuevan la visión de
desarrollo, en este sentido se aumentará la participación del Estado en la provisión
de infraestructura productiva y social mediante el uso de las diversas modalidades
de financiamiento (recursos tributarios, endeudamiento, APP, leasing, concesiones). Por otro lado, se deberá promover la coordinación de las diferentes entidades de inversión (sectoriales, municipales y de los consejos de desarrollo) en la provisión de agua potable, servicios de saneamiento ambiental y caminos rurales.</t>
  </si>
  <si>
    <t>Mantener niveles adecuados de déficit fiscal acordes con la estabilidad
macroeconómica. Los recursos provenientes de endeudamiento deberán utilizarse
para financiar inversión productiva y el mantenimiento de la sostenibilidad de la deuda
pública.</t>
  </si>
  <si>
    <t>Fomentar la transparencia y rendición de cuentas. Los recursos públicos deberán
orientarse hacia la implementación de programas que beneficien a la población. Con
el objeto de mejorar la fiscalización y control de los recursos públicos se fortalecerá
la Contraloría General de Cuentas y promoverán auditorias preventivas y revisiones
oportunas; así como, la creación del Instituto de Auditores Internos del sector público
para la estandarización de procesos. Se implementará el Código de Ética del empleado
y funcionario público y mejorará el acceso a la información pública.</t>
  </si>
  <si>
    <t>Impulsar una estrategia masiva de educación fiscal para aumentar el conocimiento de
las leyes fiscales, para ellos se deberá impulsar programas de educación fiscal en los
medios de comunicación; la realización de seminarios, cursos y programas a cargo
de la SAT, la implementación de cursos de educación financiera y fiscal en el nivel
medio de educación y la publicación de folletos sobre las obligaciones tributarias y su
forma de cumplimiento.</t>
  </si>
  <si>
    <t>Facilitar un marco jurídico, tributario y fiscal más eficiente mediante la modificación de
la Ley de Contrataciones del Estado y la Ley Orgánica del Presupuesto, además de
la revisión de otros marcos que permitan mejorar los niveles de recaudación y ejercer
un mayor control tributario. Se presentará la iniciativa de Ley de Responsabilidad
Fiscal, de leasing público, concesiones y la Ley alianzas público-privadas.</t>
  </si>
  <si>
    <t>No</t>
  </si>
  <si>
    <t xml:space="preserve">No. </t>
  </si>
  <si>
    <t>Promover políticas fiscales que incentiven el aparato productivo y el uso de tecnologías limpias que contribuyan a la conservación del ambiente.</t>
  </si>
  <si>
    <t xml:space="preserve">4.2 Desarrollo Social </t>
  </si>
  <si>
    <t>Facilitar el acceso y la ampliación de la cobertura por arriba del 95% en la educación
primaria e incrementar en los niveles preprimaria, básico y diversificado, mediante
el impulso de la matriculación, asistencia y permanencia de los niños y jóvenes a las
escuelas públicas por medio de la implementación de programas de alimentación,
transferencias monetarias condicionadas y de gestión educativa comunitaria.</t>
  </si>
  <si>
    <t>Impulso del sistema de protección a los niños de familias más vulnerables, en sus
primeros años por medio de acciones en salud, nutrición, apoyo a padres, estimulación temprana y educación formal asociada al programa de transferencias condicionadas.</t>
  </si>
  <si>
    <t>Mejoras en la calidad de la educación pública mediante la provisión de maestros
preparados y actualizados, revisión del Currículo Nacional Base (CNB), la dotación
de recursos pedagógicos, la mejora en la remuneración de los profesores en función
de los resultados, aumento de las horas de aprendizaje, implementación del sistema
de evaluación docente y modificaciones a la Ley de Educación Nacional con el objeto
de mejorar la calidad de la educación.</t>
  </si>
  <si>
    <t>Fortalecimiento de la capacidad de generar competencias cognitivas que niños y
jóvenes requieren para enfrentar la realidad actual mediante la reducción del número de estudiantes por aula, la aplicación de la jornada escolar completa, el fomento del deporte escolar y la educación física.</t>
  </si>
  <si>
    <t>Reforzar en la educación secundaria las áreas formativas claves para el desarrollo de
las competencias que requiere el mundo actual tales como: matemáticas, ciencias,
informática, inglés y educación financiera.</t>
  </si>
  <si>
    <t>Promover la formación de consejos escolares con el objeto de velar por el cumplimiento de los planes y objetivos del sistema de educación.</t>
  </si>
  <si>
    <t>Dotación de refacción y el equipamiento necesario para el buen funcionamiento de las escuelas por medio de la entrega de la valija didáctica para maestros, libros escolares para alumnos, refacción escolar, la dotación de equipo de cómputo y acceso a internet; así como, el equipamiento de talleres de artes industriales.</t>
  </si>
  <si>
    <t>Ampliar el sistema de becas escolares mediante el incremento del presupuesto,
focalizando la intervención en los jóvenes de familias pobres a efecto de promover su inserción en el sistema educativo.</t>
  </si>
  <si>
    <t>Ampliar y mejorar la infraestructura escolar por medio de la construcción de escuelas, la dotación de maestros y equipo, el mantenimiento y reparación de la infraestructura educativa existente, la dotación de centros deportivos para educación física, la implementación de tecnología en el aula y el saneamiento ambiental.</t>
  </si>
  <si>
    <t>Incorporación del estándar internacional PISA en un número de escuelas seleccionadas con el objeto de mejorar el desempeño de los estudiantes que concluyen la educación básica, en las áreas de inglés, habilidades lectoras, matemáticas, ciencias y habilidades digitales.</t>
  </si>
  <si>
    <t>Propiciar la reducción del analfabetismo para ello será necesario reforzar el programa nacional de alfabetización, la realización de campañas y la implementación del servicio social de estudiantes de magisterio y universitarios.</t>
  </si>
  <si>
    <t>Generar estrategias pedagógicas específicas por establecimiento educativo según
municipios priorizados que registren niveles de logro de lectura y/o matemática por
debajo de la media nacional en aras de mejorar paulatinamente el logro alcanzado
por los estudiantes de los niveles primario y tercero básico.</t>
  </si>
  <si>
    <t>Inserción de la temática ambiental en los distintos niveles del sistema educativo formal y no formal; así como, la adaptación al cambio climático.</t>
  </si>
  <si>
    <t>Incorporar en los planes de salud la variable climática con el objeto de mejorar la
prevención y disminuir la ocurrencia de enfermedades vectoriales, infecciones
respiratorias agudas, enfermedades diarreicas y particularmente, leishmaniosis,
malaria, dengue, entre otras.</t>
  </si>
  <si>
    <t>Fortalecimiento del sistema público de salud y mejora del acceso y la oportunidad de la
atención médica mediante la contratación de más médicos, enfermeras, laboratoristas
y personal paramédico; así como, la capacitación del personal, contratación de
servicios externos, el reforzamiento de la atención primaria y el cuidado integral de
la familia, promoción de la salud del adulto mayor, el acceso a medicamentos y el
abastecimiento de hospitales y centros de salud.</t>
  </si>
  <si>
    <t>Atención de los programas prioritarios con el objeto de combatir la mortalidad
maternoinfantil, las enfermedades respiratorias, infectocontagiosas y parasitarias;
así como, acciones de saneamiento ambiental, salud reproductiva, educación de
maternidad y paternidad responsable y planificación familiar.</t>
  </si>
  <si>
    <t>Impulso de la autogestión de la salud comunitaria en el área rural mediante la
formación y desarrollo de redes comunitarias de protección en salud, el fomento de la
medicina genérica y alternativa, el acceso a medicamentos y el fortalecimiento de los
programas de comadronas rurales.</t>
  </si>
  <si>
    <t>Promoción de la salud preventiva por medio de la educación, estilos de vida, hábitos
alimenticios, saneamiento ambiental, buenas prácticas de higiene, la implementación
de programas de fumigación de zancudos y plagas; vacunación y asesoría y
capacitación para el cuidado de la salud.</t>
  </si>
  <si>
    <t>Impulso de los programas de salud mental para la atención de la depresión y los
efectos del alcoholismo y la drogadicción; así como, la atención del sobrepeso y la
ampliación de la cobertura del trabajo social y psiquiátrico.</t>
  </si>
  <si>
    <t>Ampliación de la infraestructura hospitalaria y reparación de la existente, con énfasis
en los hospitales Roosevelt y San Juan de Dios y los departamentales; así como, los
centros de salud ubicados en los municipios y comunidades rurales.</t>
  </si>
  <si>
    <t>Equipamiento de los hospitales y centros de salud con material quirúrgico, camas, sillas
de ruedas, bastones, prótesis y lo demás insumos para el adecuado funcionamiento.</t>
  </si>
  <si>
    <t>Impulso del seguro colectivo de salud convencional para la clase media con el objeto
de permitir a los guatemaltecos que asistan a clínicas y hospitales privados y de esta
manera descentralizar la salud pública.</t>
  </si>
  <si>
    <t>Acceso al seguro social a trabajadores que no están en relación de dependencia,
especialmente los trabajadores independientes formales que puedan pagar su
contribución al IGSS.</t>
  </si>
  <si>
    <t>Fortalecer el sistema público de salud a través de la regionalización, descentralización
y desconcentración del sistema nacional de salud, organizando los servicios del
primer nivel de atención, en el marco del Sistema de Consejos de Desarrollo, para
facilitar alianzas y la coordinación interinstitucional e intersectorial.</t>
  </si>
  <si>
    <t>Promover la salud preventiva a través de una estrategia de información y comunicación
vinculada a los programas de atención a las personas.</t>
  </si>
  <si>
    <t>Transparentar los procesos administrativos, técnicos y financieros del Ministerio de
Salud, para la negociación con los proveedores de medicamentos y otros insumos,
para eliminar la corrupción que históricamente ha existido”.</t>
  </si>
  <si>
    <t>Ampliar la cobertura y mejorar la calidad del agua para consumo humano en un marco
de gestión integrada de los recursos hídricos del país.</t>
  </si>
  <si>
    <t>Fortalecer el programa de reducción de la desnutrición crónica mediante la inversión
de recursos en los municipios con mayor incidencia de pobreza y regiones de mayor
riesgo a la inseguridad alimentaria y nutricional; promoción de la lactancia materna,
provisión de alimento fortificado y el aumento de ingesta de nutrientes, minerales,
proteínas y vitaminas.</t>
  </si>
  <si>
    <t>Fortalecimiento del sistema nacional de seguridad alimentaria y nutricional con
productos de calidad y cantidad; aumento de la información y educación alimentaria
y nutricional; acceso a agua potable y saneamiento básico.</t>
  </si>
  <si>
    <t>Apoyo de los programas de sensibilización para la lactancia materna mediante la
realización de jornadas periódicas con los padres de familia en las escuelas.</t>
  </si>
  <si>
    <t>Fomento de la nutrición en los adolescentes embarazadas y niños en coordinación
con autoridades locales y el apoyo de la cooperación internacional.</t>
  </si>
  <si>
    <t>Fortalecimiento de la estrategia de desayunos y refacción priorizando las escuelas
primarias de los municipios y comunidades más pobres del país, mediante el refuerzo
de nutrientes, vitaminas y minerales.</t>
  </si>
  <si>
    <t>Ampliación de la inversión en saneamiento ambiental mediante la construcción de
letrinas, drenajes, fosas sépticas, eliminación de excretas, control de artrópodos y
la introducción de agua potable, incluyendo la perforación de pozos, en el área rural
y las zonas marginales de las ciudades; así como, el impulso de medias básicas de
higiene, educación sanitaria y cuidado de la salud.</t>
  </si>
  <si>
    <t>Promover la implementación de un sistema de información para la educación nutricional
con el objeto de promover cambios en los hábitos alimentarios que promuevan la
buena salud y la actividad física.</t>
  </si>
  <si>
    <t>Incrementar el acceso a los alimentos de las familias en situación de pobreza o pobreza
extrema, a través de la generación de fuentes de empleo, dotación de transferencias
monetarias condicionadas (salud, educación, alimentación) y/o proveer insumos y
otros recursos que faciliten la producción de alimentos.</t>
  </si>
  <si>
    <t>Impulsar una estrategia para la adquisición, ampliación o reparación de vivienda
popular de familias en condiciones de pobreza y pobreza extrema, mediante la
creación del Plan Nacional para la Reducción del Déficit Habitacional, la creación del
fondo nacional de vivienda popular, el establecimiento de subsidios para completar
la adquisición de vivienda popular y la facilitación de líneas de crédito en condiciones
blandas y cuotas bajas en función de sus ingresos.</t>
  </si>
  <si>
    <t>Constituir el fondo de garantía para la vivienda social para garantizar el otorgamiento
de financiamiento a los solicitantes de vivienda de interés social por parte de las
cooperativas, bancos y sociedades financieras. Así como, modificaciones a las leyes
tributarias para otorgar exención para la adquisición de vivienda social y la exoneración
de impuestos sobre la renta por los interese que se perciban derivados del programa.</t>
  </si>
  <si>
    <t>Propiciar la ejecución de proyectos de construcción de vivienda popular mediante la
facilitación de crédito en condiciones favorables para las empresas constructoras,
asociaciones comunitarias que realicen este tipo de proyectos.</t>
  </si>
  <si>
    <t>Propiciar el acceso a los servicios públicos en el área rural y zonas urbano- marginales
(agua, electricidad y telecomunicaciones), además de drenajes de agua pluviales,
alcantarillado para aguas sucias, áreas verdes y espacios públicos para el deporte y
la vida al aire libre.</t>
  </si>
  <si>
    <t>Facilitar el acceso al financiamiento bancario en condiciones favorables para la
adquisición, ampliación o reparación de vivienda de familias de clase media, mediante
la constitución de fondos y líneas de crédito para las instituciones financieras que
se integren al programa de apoyo a la vivienda en condiciones blanda, orientado a
trabajadores que tengan un nivel de ingreso de hasta dos salarios mínimos.</t>
  </si>
  <si>
    <t>Impulsar programas de regeneración de barrios y reconstrucción de espacios públicos,
plazas y parques en coordinación con las municipalidades y asociaciones de barrios y
colonias, especialmente en el área rural y áreas marginales de zonas urbanas.</t>
  </si>
  <si>
    <t>Fortalecer la planificación de tipo urbano en la construcción de colonias residenciales
y vías de acceso, así como, el aprovisionamiento de agua, energía eléctrica,
telecomunicaciones, drenajes y alcantarillados.</t>
  </si>
  <si>
    <t>Implementación de medidas de adaptación y gestión de riesgos en los asentamientos
humanos ubicados en la periferia de las cabeceras departamentales y lugares
propensos a la ocurrencia de eventos naturales, incluyendo la reubicación en áreas
de mejor riesgo.</t>
  </si>
  <si>
    <t>4.2.2.2 Propiciar el rompimiento del ciclo de la pobreza por medio del desarrollo
del capital humano y del impulso de programas de asistencia social,
condicionados a la matriculación y asistencia de los niños a las escuelas
públicas, a las consultas médicas a centros de salud públicos, programas
de vacunación infantil y a la capacitación de los adultos</t>
  </si>
  <si>
    <t>Impulso del programa temporal alimentario para las familias que viven en condición
de pobreza y pobreza extrema, para que mejoren su alimentación y nutrición,
consistente en una bolsa de alimentos con un contenido mínimo condicionado a que
los niños asistan a la escuela y aprueben el año y acudan a los servicios de salud; y,
que los adultos asistan a programas de capacitación productiva y asistencia técnica.
Para su control se creará el sistema de información y base de datos de los programas
sociales.</t>
  </si>
  <si>
    <t>Impulso del programa temporal de transferencias monetarias condicionadas, a
familias que viven en condición de pobreza y pobreza extrema condicionado a que
los niños asistan a las escuelas y centros de salud, y los adultos a los programas de
capacitación productiva y asistencia técnica. Se orientará a la atención de necesidades
básicas como vestuario, transporte, complemento alimentario, vivienda, medicinas y
otros. Estará adscrito al sistema de información de programas sociales.</t>
  </si>
  <si>
    <t>Fortalecimiento del programa de atención al adulto mayor en condiciones de pobreza
y pobreza extrema, para asegurar un ingreso mínimo y protección social, consistirá
en un bono monetario que se entregará cada dos meses. Complementariamente se
propiciará el acceso a servicio social y los comedores comunitarios. Estará adscrito
al sistema de información de programas sociales.</t>
  </si>
  <si>
    <t>Fortalecimiento de los programas de comedores sociales asistidos y focalizados, con
el objeto de mejorar las condiciones de acceso a la alimentación de niños, mujeres
en gestación y lactancia, personas con discapacidad, adultos mayores y poblaciones
vulnerables de área rural y urbana.</t>
  </si>
  <si>
    <t>Promoción de la estrategia de guarderías infantiles en apoyo a madres trabajadoras
en condiciones de pobreza y pobreza extrema bajo la modalidad pública o el acceso
privado mediante subvenciones. En el área rural se promoverá la organización
comunitaria para el cuidado de niños subvencionadas por el Estado.</t>
  </si>
  <si>
    <t>4.2.2.3 Desarrollar y estimular la formación y las capacidades productivas de las
familias en estado de pobreza y pobreza extrema asentadas en el área
rural y áreas marginales de las zonas urbanas, por medio de programas de
desarrollo productiva integrales para generar oportunidades de empleo</t>
  </si>
  <si>
    <t>Se promoverá el acceso a la educación y a la capacitación para el empleo o
autoempleo mediante la implementación de un sistema de educación continua basado
en competencias en el que los trabajadores podrán certificar los conocimientos y
habilidades adquiridos, el fomento de las actividades de capacitación dentro de los
centros de trabajo y el establecimiento de agentes privados de capacitación en el
área rural y zonas urbano marginales; así como, la ampliación de la cobertura del
INTECAP y la capacitación de mujeres en actividades productivas.</t>
  </si>
  <si>
    <t>Fomento del acceso a pequeños préstamos, así como a otros servicios financieros,
para las personas que no tienen acceso al sistema bancario por su situación de
exclusión mediante la constitución de fideicomisos; el microcrédito para actividades
productivas agrícolas y de transformación y programas de crédito de hasta un salario
mínimo para apoyar proyectos de asociaciones comunitarias productivas de mujeres,
jóvenes y adultos en situación de pobreza; así como, el apoyo de líneas de crédito a
las cooperativas de ahorro y crédito para el fomento productivo.</t>
  </si>
  <si>
    <t>Fortalecimiento del sistema de producción agrícola en territorios rurales comunitarios,
mediante la organización campesina para fines productivos y de comercialización
de sus productos; se coadyuvará en la crianza avícola, porcina, bovina y caprina
brindando capital semilla y asistencia técnica por medio del extensionismo agrícola.</t>
  </si>
  <si>
    <t>Facilitar el accesos a los mercados a los pequeños productores, para que puedan
vender sus productos en condiciones justas por medio de información que conecte
a los productores con los compradores, capacitación en temas relacionados con
salubridad e inocuidad de los productos, empaque y condiciones de venta; así como,
la promoción de encadenamientos productivos con empresas exportadoras.</t>
  </si>
  <si>
    <t>Impulso de la estrategia de empresariado social y negocios inclusivos.</t>
  </si>
  <si>
    <t>Fomento del turismo rural comunitario a través de la promoción del ecoturismo, el
impulso de campañas publicitarias para la disposición de información de la oferta de
lugares para visitar, la construcción de microhoteles y lugares de estancia respetando
el ambiente y la naturaleza.</t>
  </si>
  <si>
    <t>Fortalecimiento de los sistemas de riego y microriego, mediante la implementación
del Plan Nacional de Riego y Drenaje.</t>
  </si>
  <si>
    <t>Desarrollo de mercados rurales y de seguridad alimentaria como mecanismo de
distribución de alimentos y comercialización de productos sin intermediarios y
el establecimiento de centros de distribución de productos agrícolas en las zonas
urbanas.</t>
  </si>
  <si>
    <t>Impulso del ordenamiento territorial y la certeza jurídica de la tierra en coordinación
con las comunidades y grupos sociales organizados; así como, la gestión responsable
de los recursos naturales y su uso racional.</t>
  </si>
  <si>
    <t>Impulso de la estrategia de capital semilla para el inicio de centros productivos
comunitarios mediante la constitución de fondos por medio de los cuales, se financien
en condiciones blandas microproyectos y proyectos viables de emprendedores,
incluyendo asesoría y asistencia técnica para los procesos de gestión financiera.</t>
  </si>
  <si>
    <t>Reorientación del programa de fertilizantes y semillas mejoradas para el mejoramiento
del rendimiento de maíz y frijol en las zonas con mayor incidencia de pobreza.</t>
  </si>
  <si>
    <t>4.2.2.4 Reducir la vulnerabilidad de la población y sus medios de vida ante el
riesgo de desastres y catástrofes, por medio de acciones coordinadas con
las autoridades locales y las comunidades</t>
  </si>
  <si>
    <t>Impulso del conocimiento del riesgo mediante la generación de estudios e
investigaciones científicas y técnicas relacionadas con la gestión del riesgo a
desastres y la implementación de sistemas de información sobre la temática.</t>
  </si>
  <si>
    <t>Reducir las condiciones de riesgo de los medios de vida de la población con un enfoque
territorial mediante el fortalecimiento del proceso de planeación y acondicionamiento
territorial con una orientación de gestión de riesgos de desastres.</t>
  </si>
  <si>
    <t>Generación de condiciones y capacidades de respuesta ante emergencias y desastres,
mediante el fortalecimiento de las capacidades de respuesta de las instituciones
responsables y la constitución de un batallón de reacción inmediata en el Ministerio
de la Defensa.</t>
  </si>
  <si>
    <t>Fortalecimiento de las capacidad para la recuperación física, económica y social
mediante la adquisición de coberturas de seguros por riesgos de desastres para la
infraestructura estratégica del país.</t>
  </si>
  <si>
    <t>Mejora de las capacidades institucionales para la adecuada y oportuna gestión del
riesgo de desastres en los niveles nacional, regional y municipal.</t>
  </si>
  <si>
    <t>Propiciar la participación de la población para lograr una cultura de prevención
mediante el impulso de programas de educación en las escuelas públicas y privadas,
la divulgación de información de prevención en áreas de mayor riesgo y el impulso
de planes y programas de prevención, mitigación y reducción de las vulnerabilidades</t>
  </si>
  <si>
    <t>4.2.2.5 Impulsar la coordinación gubernamental y municipal de las instituciones
responsables de la ejecución de las políticas de desarrollo social, con el
propósito de lograr la complementariedad y generar sinergias para focalizar
y priorizar los recursos disponibles para el desarrollo social.</t>
  </si>
  <si>
    <t>Fortalecimiento del consejo de desarrollo social, como mecanismo de coordinación
para que las instituciones responsables ejecuten los programas de manera eficiente.</t>
  </si>
  <si>
    <t>Creación de la instancia de coordinación con las municipalidades para la ejecución
de los programas sociales. Mecanismo que se encargará de alinear a todas las
instituciones responsables de los programas y la creación de mecanismos de
dialogo con las comunidades para coordinar las acciones estratégicas para atender
emergencias alimentarias y de salud.</t>
  </si>
  <si>
    <t>Promover y garantizar la transparencia y rendición de cuentas de los programas
sociales, los fondos de financiamiento y capital semilla. Así como, la aplicación de
auditoría cruzada para el control de los programas.</t>
  </si>
  <si>
    <t>4.3 Gobernabilidad y seguridad en desarrollo</t>
  </si>
  <si>
    <t>4.3.2.1 Fortalecer la institucionalidad de seguridad ciudadana y comunitaria.</t>
  </si>
  <si>
    <t>Recuperación de la confianza ciudadana para ejercer su derecho a la denuncia y
resiliencia ante su victimización.</t>
  </si>
  <si>
    <t>Promoción de la organización comunitaria para la prevención del delito en observancia
de los marcos legales.</t>
  </si>
  <si>
    <t>Política activa de seguridad que considere la resiliencia, mitigación, prevención,
control, disuasión, judicialización, resocialización y no revictimización.</t>
  </si>
  <si>
    <t>Mecanismos de coordinación agiles entre el sector justicia, el Ministerio de
Gobernación y el Sistema Penitenciario.</t>
  </si>
  <si>
    <t>Fortalecimiento del Organismo Judicial, Ministerio Público, Defensa Pública Penal,
INACIF, Sistema Penitenciario y las fuerzas de seguridad.</t>
  </si>
  <si>
    <t>Aumento, modernización y control de los centros carcelarios, especialmente el control
de las redes delictivas; así también, medidas de reinserción social diferenciado para
los jóvenes en conflicto con la Ley penal.</t>
  </si>
  <si>
    <t>4.3.2.2 Garantizar el acceso a una justicia pronta y cumplida, así como del cumplimiento de la ley, impulsando la cobertura nacional de las instituciones de justicia.</t>
  </si>
  <si>
    <t>Implementación de la carrera judicial y el respeto de la independencia judicial.</t>
  </si>
  <si>
    <t>Aumentar los recursos presupuestaria del Organismo Judicial y el MP.</t>
  </si>
  <si>
    <t>Garantizar la autonomía y la seguridad de los fiscales en el desempeño de sus
funciones.</t>
  </si>
  <si>
    <t>Implementación de procesos estratégicos de coordinación con el MP para la
implementación efectiva de las políticas de criminalidad de Estado, así como con
otros actores clave. (Defensa Pública Penal, INACIF).</t>
  </si>
  <si>
    <t>Promover la separación de funciones entre la Corte Suprema de Justicia y otras
estructuras de poder judicial como la rama administrativa y el Consejo de la Carrera
Judicial.</t>
  </si>
  <si>
    <t>Regular la demanda de armas por parte de la ciudadanía, así como contar con un
control efectivo y seguro de la adquisición de las mismas.</t>
  </si>
  <si>
    <t>Aumento, modernización y control de los centros carcelarios, especialmente de redes
delictivas.</t>
  </si>
  <si>
    <t>4.3.2.3 Propiciar la disminución de la comisión de delitos, impulsando programas
de prevención e instancias de resolución de conflictos.</t>
  </si>
  <si>
    <t>Fortalecer la investigación policial en coordinación con otros entes para la
desarticulación de estructuras criminales.</t>
  </si>
  <si>
    <t>Reducir de manera significativa las corrientes financieras y de armas ilícitas.</t>
  </si>
  <si>
    <t>Promover la organización comunitaria para la prevención del delito desde la
observancia de los marcos legales.</t>
  </si>
  <si>
    <t>Impulsar una estrategia política que permita el compromiso municipal para prevenir la
violencia hacia las niñas y niños.</t>
  </si>
  <si>
    <t>Fortalecer las instancias para atención de la conflictividad social, para escuchar y
atender las demandas sociales y resolver conflictos de manera oportuna y efectiva.</t>
  </si>
  <si>
    <t>Impulsar una estrategia para la prevención de la violencia sexual, y de la eliminación
de todas las formas de violencia contra todas las mujeres y las niñas en los ámbitos
público y privado, incluidas la trata y la explotación sexual y otros tipos de explotación.</t>
  </si>
  <si>
    <t>4.3.2.4 Promover los derechos y el desarrollo de pueblos indígenas.</t>
  </si>
  <si>
    <t>Impulsar la gobernabilidad y la estabilidad social por medio de la reducción sustancial
de la exclusión, el racismo y la discriminación. Las poblaciones indígenas participarán
e incidirán en las decisiones estratégicas del país.</t>
  </si>
  <si>
    <t>Propiciar el derecho de las poblaciones indígenas a contar con un alto nivel de
autonomía de gestión de sus propios asuntos; a tener sus propias organizaciones,
estructura jerárquica y proceso decisorio respecto del desarrollo económico y social.</t>
  </si>
  <si>
    <t>Establecer marcos estratégicos de política que permitan a los pueblos indígenas
la autoridad para dirigir sus propios asuntos dentro del sistema jurídico y político
nacional.</t>
  </si>
  <si>
    <t>Atender de manera pertinente y oportuna sus necesidades en materia de educación,
salud, desarrollo comunitario y productivo.</t>
  </si>
  <si>
    <t>Fomentar en el sistema educativo, el conocimiento y prácticas ancestrales en las
futuras generaciones.</t>
  </si>
  <si>
    <t>4.3.2.5 Fortalecer las fuerzas de seguridad para el orden interno, la debida custodia
de las fronteras, la atención de desastres y la cooperación internacional para
la paz.</t>
  </si>
  <si>
    <t>Reestructurar todo el sistema de seguridad nacional para poder brindar la seguridad
interior y exterior, inteligencia de Estado, gestión de riesgos y la protección civil.</t>
  </si>
  <si>
    <t>Fortalecer las fuerzas de seguridad, a fin de recuperar su capacidad operativa en
materia de modernización y profesionalización.</t>
  </si>
  <si>
    <t>Mejorar el armamento, equipamiento tecnológico, comunicaciones, así como movilidad
terrestre, marítima y aérea.</t>
  </si>
  <si>
    <t>Fortalecer las medidas de seguridad contra el crimen organizado, narcotráfico y
pandillas.</t>
  </si>
  <si>
    <t>Desarrollar estrategias regionales para abordar la narcoactividad. Incluido el resguardo
efectivo de las fronteras.</t>
  </si>
  <si>
    <t>4.3.2.6 Propiciar el respeto al derecho de la propiedad.</t>
  </si>
  <si>
    <t>Aumento de la densidad del Estado, para la buena gobernanza y prevención de la
conflictividad social.</t>
  </si>
  <si>
    <t>Impulso de marcos legales que den certeza jurídica a aspectos relacionados con los
derechos de propiedad.</t>
  </si>
  <si>
    <t>Crear un ambiente propicio a la inversión y la certeza jurídica.</t>
  </si>
  <si>
    <t>Asegurar los derechos de propiedad en el área rural, mediante el fortalecimiento de
los sistemas de catastro que garanticen los derechos de propiedad de la tierra y como
consecuencia, el acceso al crédito.</t>
  </si>
  <si>
    <t>4.4.2.1 Impulsar el mejoramiento del servicio civil, la meritocracia, transparencia,
control y rendición de cuentas</t>
  </si>
  <si>
    <t>Realizar y desarrollar una revisión general de las funciones y marco legal de las
instituciones del Organismo Ejecutivo para readecuar la función de la institucionalidad
pública, su evaluación y clasificación.</t>
  </si>
  <si>
    <t>Revisión del marco jurídico vigente con el objeto de garantizar la efectividad de la
gestión pública.</t>
  </si>
  <si>
    <t>Diseñar y poner en marcha un sistema para la optimización de la administración
pública.</t>
  </si>
  <si>
    <t>Reorientar la asignación de los recursos presupuestarios a efectos de mejorar la
calidad del gasto acorde al cumplimiento de los objetivos estratégicos de desarrollo.</t>
  </si>
  <si>
    <t>Reformar el sistema de contrataciones del Estado para garantizar la eficacia y
eficiencia en los procesos de contratación y la contratación de funcionarios con el
objeto de garantizar los principios de equidad, mérito y aptitud.</t>
  </si>
  <si>
    <t>Implementar la identidad digital para mejorar la identificación y atención al ciudadano.</t>
  </si>
  <si>
    <t>Revisar las políticas públicas vigentes y actualizarlas de conformidad con la visión
de desarrollo planteada en el Plan Nacional de Desarrollo K´atun Nuestra Guatemala
2032 y esta Política.</t>
  </si>
  <si>
    <t>Crear un sistema nacional que promueva los principios y valores de la transparencia
y la ética pública; mejorar la imagen de los funcionarios e instituciones públicas.</t>
  </si>
  <si>
    <t>Proponer reformas a la Ley de Servicio Civil para que se implemente el sistema de
meritocracia.</t>
  </si>
  <si>
    <t>4.4.2.2 Hacer eficientes los procesos en las instituciones del Estado, incorporando
tecnología y controles que permitan atender y resolver oportunamente las
gestiones de los ciudadanos.</t>
  </si>
  <si>
    <t>Institucionalizar el Programa de Gobierno Electrónico por medio de la creación de un
marco legal y una política pública sobre la temática.</t>
  </si>
  <si>
    <t>Analizar y rediseñar los compromisos del país en materia de Gobierno Abierto.</t>
  </si>
  <si>
    <t>Promover la incorporación y participación activa de la sociedad, academia y sector
productivo en las actividades de desarrollo de iniciativas de Gobierno Electrónico y
Gobierno Abierto. (identidad digital).</t>
  </si>
  <si>
    <t>Desarrollar los espacios necesarios para fomentar la participación ciudadana en la
toma de decisiones del gobierno y la fiscalización.</t>
  </si>
  <si>
    <t>4.4.2.3 Hacer efectiva la descentralización y desconcentración pública y la
coordinación nacional, regional, departamental y municipal.</t>
  </si>
  <si>
    <t>Crear un sistema nacional y un marco regulatorio en materia de descentralización y
desconcentración de la administración pública.</t>
  </si>
  <si>
    <t>Fortalecer los mecanismos de coordinación en los diferentes niveles de la
administración pública (nacional, regional y local).</t>
  </si>
  <si>
    <t>Reducir los niveles de corrupción y burocracia dentro de las instituciones públicas, a
través de la descentralización.</t>
  </si>
  <si>
    <t>Reformar estructural y funcionalmente las municipalidades del país.</t>
  </si>
  <si>
    <t>Generar nuevos espacios e instancias de diálogo y consenso con la población,
mejorando las acciones del gobierno municipal.</t>
  </si>
  <si>
    <t>Reactivar las alianzas público-privadas en la búsqueda de aumentar la inversión, el
empleo, la productividad y el consumo local. (ley de alianzas público-privadas)</t>
  </si>
  <si>
    <t>4.4.2.4 Impulsar el sistema nacional de planificación y desarrollo.</t>
  </si>
  <si>
    <t>Crear el Ministerio de Planificación y Desarrollo.</t>
  </si>
  <si>
    <t>Revisar y actualizar el marco legal en materia de planificación.</t>
  </si>
  <si>
    <t>Actualizar los planes de desarrollo en los distintos niveles territoriales: municipales,
departamentales, regionales y nacional bajo el enfoque de ordenamiento territorial.
Cada uno de los municipios deberá contar e implementar su respectivo Plan de
Desarrollo Municipal y Ordenamiento Territorial.</t>
  </si>
  <si>
    <t>Hacer más eficiente y eficaz el Sistema Nacional de Inversión Pública, de tal manera
que asegure condiciones de competitividad, el acceso a los servicios básicos y facilite
la movilidad de las personas.</t>
  </si>
  <si>
    <t>Crear la Agencia Guatemalteca de Cooperación Internacional, y definir una política y
estrategia acorde a las necesidades nacionales con el soporte informático actualizado
que facilite la auditoría social y la transparencia.</t>
  </si>
  <si>
    <t>Alinear la cooperación internacional al marco de prioridades nacionales de desarrollo</t>
  </si>
  <si>
    <t>4.4.2.5 Fortalecer y modernizar el sistema de partidos políticos y participación
ciudadana, propiciando la participación ciudadana organizada y efectiva.</t>
  </si>
  <si>
    <t>Fortalecer el Registro Nacional de la Personas y el Tribunal Supremo Electoral
(promoción de la participación ciudadana y el civismo).</t>
  </si>
  <si>
    <t>Articular una agenda legislativa adecuada al cumplimiento del Plan de Innovación y
Desarrollo y el Plan nacional de desarrollo.</t>
  </si>
  <si>
    <t>4.4.2.6. Propiciar el fomento del desarrollo social, cultural, económico y territorial
en un entorno que sea amigable con el medio ambiente, de tal manera que
se garantice su sostenibilidad tanto para las presentes generaciones como
para las futuras</t>
  </si>
  <si>
    <t>Para 2020, promover la conservación sostenible y el uso eficiente de los recursos
naturales, priorizando la conservación de los bosques, detener la deforestación,
recuperar los bosques degradados y aumentar considerablemente la reforestación.</t>
  </si>
  <si>
    <t>Fortalecer la resiliencia y la capacidad de adaptación a los riesgos relacionados con
el clima y los desastres naturales.</t>
  </si>
  <si>
    <t>Integración de valores eco-sistémicos, biodiversidad y servicios ecosistémicos en la
planificación y los procesos de desarrollo.</t>
  </si>
  <si>
    <t>Gestión y protección de los ecosistemas acuáticos en situación de riesgo, sitios
Ramsar y sistemas lacustres y fluviales.</t>
  </si>
  <si>
    <t>Fortalecer los esquemas de incentivos para la conservación de los bosques y la
protección y vigilancia de las áreas protegidas; así como, la efectividad en el manejo
del Sistema Guatemalteco de Áreas Protegidas.</t>
  </si>
  <si>
    <t>Disminuir la emisión de gases de efecto invernadero ocasionados por el cambio
de uso de la tierra, la actividad agropecuaria, el sector energético, el transporte, la
industria y los residuos sólidos y líquidos.</t>
  </si>
  <si>
    <t>Fortalecer el ordenamiento territorial para el aprovechamiento sostenible de los
recursos naturales, la producción agropecuaria y la adaptación al cambio climático y
mitigación de sus efectos.</t>
  </si>
  <si>
    <t>Velar por un buen manejo de desechos sólidos, líquidos y tóxicos en las cuencas
hidrográficas del país.</t>
  </si>
  <si>
    <t>4.5 Relaciones con el mundo</t>
  </si>
  <si>
    <t>4.5.2.1 Reconfigurar la política exterior con el propósito de mejorar y ampliar
nuestras relaciones diplomáticas con otros países del mundo de interés
para Guatemala, bajo una estrategia económica, social y política.</t>
  </si>
  <si>
    <t>Reenfoque de la estrategia de política exterior del país, orientándola, además de
los temas diplomáticos, a asuntos comerciales, turísticos y de inversión, es decir,
convertirse en un instrumento de la estrategia de desarrollo del país, en donde se
incluirán además, los temas de medio ambiente, lucha contra el crimen organizado,
narcotráfico, lavado de dinero y ciencia y tecnología.</t>
  </si>
  <si>
    <t>Promover una política exterior con valores democráticos.</t>
  </si>
  <si>
    <t>Priorizar y fortalecer las sedes diplomáticas en el exterior a la luz de las capacidades
del país, sin perder de vista la integración regional y mundial, el multilateralismo y la
cooperación internacional.</t>
  </si>
  <si>
    <t>Fortalecer las capacidades técnicas y administrativas del Minex para mejorar y lograr
una mayor incidencia en las negociaciones bilaterales y multilaterales en los planos
comercial, económico y político.</t>
  </si>
  <si>
    <t>Coordinación de las instituciones del Estado para hacer más efectiva la ejecución de
la política exterior del país que permita alcanzar los objetivos de desarrollo.</t>
  </si>
  <si>
    <t>Actualizar la Ley de Servicio Diplomático, así como fomentar mecanismos objetivos
para iniciar y ascender en la Carrera Diplomática.</t>
  </si>
  <si>
    <t>Velar por el cumplimiento de los Convenios Internacionales en materia de libre
comercio y ambiente.</t>
  </si>
  <si>
    <t>4.5.2.2 Impulsar una estrategia efectiva de atención al migrante en Estados Unidos
y otros países.</t>
  </si>
  <si>
    <t>Concretar acuerdos con el Gobierno de Estados Unidos para brindar estatus legal
temporal a los migrantes guatemaltecos.</t>
  </si>
  <si>
    <t>Abrir más consulados en Estados Unidos y México a efecto de atender a los migrantes
de manera oportuna.</t>
  </si>
  <si>
    <t>Buscar el buen trato y el respeto de los derechos humanos de los migrantes
guatemaltecos mediante la suscripción de acuerdos con Estados Unidos y México.</t>
  </si>
  <si>
    <t>Propiciar la generación de oportunidades de empleo a los migrantes deportados por
medio de la implementación de una estrategia integral de fomento de las MIPYMES.</t>
  </si>
  <si>
    <t>Impulso de una estrategia de educación financiera para beneficiarios de remesas
familiares con el objeto de promover el ahorro y la inversión productiva que aseguren
la sostenibilidad de sus ingresos.</t>
  </si>
  <si>
    <t>Impulso de una estrategia que beneficie a los migrantes guatemaltecos en el sur de
México.</t>
  </si>
  <si>
    <t>Formulación e implementación de estrategia para disminuir la migración por medio
del fomento de oportunidades económicas y generación de empleo.</t>
  </si>
  <si>
    <t>4.5.2.3 Impulsar la búsqueda de nuevos mercados y acuerdos comerciales, y
fortalecer los existentes</t>
  </si>
  <si>
    <t>Promoción de las exportaciones a través de las sedes diplomáticas, para ello se creará
la Agencia Guatemalteca de Promoción Comercial, se impulsará la estrategia de
visitas a centros de comercialización para proporcionar información de los productos
de exportación y se creará el Programa de Promoción de la Oferta Exportable.</t>
  </si>
  <si>
    <t>Propiciar el acompañamiento a los equipos de negociación de acuerdos comerciales,
mediante proceso de capacitación, la acogida de información comercial y el impulso
de la estrategia para explorar potenciales acuerdos comerciales con otros países.</t>
  </si>
  <si>
    <t>Promover la realización de eventos comerciales en el exterior de manera conjunta
con el sector exportador para promocionar y comercializar nuestros productos y
servicios en el exterior, tales como ferias, foros, muestra de productos y misiones de
compradores.</t>
  </si>
  <si>
    <t>De manera conjunta con el sector privado se promoverá el establecimiento de nuevas
relaciones comerciales con el objeto de proporcionar información sobre los gustos,
preferencias, tendencias y modas de los consumidores en el exterior.</t>
  </si>
  <si>
    <t>Exploración de otros mercados para nuestro comercio exterior.</t>
  </si>
  <si>
    <t>4.5.2.4 Fortalecer las relaciones regionales (Centroamérica) para mejorar el
intercambio de bienes y servicios, la seguridad y las condiciones de la
migración</t>
  </si>
  <si>
    <t>Impulsar la facilitación del comercio intrarregional con el objeto de logar el tránsito de
mercancías y personas en la región.</t>
  </si>
  <si>
    <t>Procurar la efectividad en la ejecución de los acuerdos aduaneros de la región,
mediante la eliminación de las barreras arancelarias y no arancelarias que afectan la
movilidad de mercancías.</t>
  </si>
  <si>
    <t>Consolidar el bloque centroamericano para actuar como uno solo en la suscripción de
acuerdos comerciales con el mundo que nos permita lograr mejores resultados para
la colocación de nuestros productos y servicios.</t>
  </si>
  <si>
    <t>Propiciar la debida implementación del programa USA Plan para la Prosperidad del
Trifinio y el Plan de Desarrollo Integral (PDI) con el objeto de generar condiciones
adecuadas para la inversión y crear más y mejores empleos que detengan el flujo
migratorio de connacionales.</t>
  </si>
  <si>
    <t>Impulso de acciones para que las instituciones regionales cumplan con los objetivos
para las que fueron creadas y se obtengan los resultados de desarrollo esperados.</t>
  </si>
  <si>
    <t>Buscar la alianza regional para el mejor tratamiento migratorio de nuestros
connacionales en los países receptores.</t>
  </si>
  <si>
    <t>Fortalecimiento de las medidas de seguridad contra el crimen organizado, narcotráfico
y pandillas.</t>
  </si>
  <si>
    <t>4.5.2.5 Impulsar una política de inteligencia de mercados en el exterior, que permita
poner información a disposición de los agentes económicos</t>
  </si>
  <si>
    <t>Procurar la investigación de mercados por medio de las sedes diplomáticas, para
ello se deberán fortalecer las agregadurías comerciales en las sedes, mediante la
disposición de recursos y capacidades técnicas.</t>
  </si>
  <si>
    <t>Crear el sistema integrado de información de mercados para realizar webinars en
línea, video-conferencias, capacitaciones y links que permitan el acceso a páginas
de interés comercial, con el objeto de mejorar la toma de decisiones y mejorar la
colocación de nuestros productos en el exterior.</t>
  </si>
  <si>
    <t>Propiciar el uso efectivo de información de mercados en la instancia de coordinación
de CONAPEX.</t>
  </si>
  <si>
    <t>Capacitación del personal de las sedes diplomáticas para que puedan realizar la
investigación de mercados.</t>
  </si>
  <si>
    <t>Dotar de recursos necesarios a las sedes diplomáticas con el propósito de que cumplan
con la nueva misión que se les asignará, alienando a la estrategia diplomática,
económica, comercial y turística.</t>
  </si>
  <si>
    <t>Instaurar un sistema de información de los bienes y servicios de exportación para
uso de nuestras sedes diplomáticas, así como, de información económica, financiera,
bancaria y turística.</t>
  </si>
  <si>
    <t>Procurar mejorar la percepción de nuestro país en el exterior mediante la
implementación de una estrategia de marketing.</t>
  </si>
  <si>
    <t>Posicionar a Guatemala como un país sujeto de inversión, de visitarlo y de adquirir sus
productos, para ello se deberán impulsar acciones en pro de la mejora de negocios, la
certeza jurídica, la seguridad e infraestructura y aumentar la competitividad.</t>
  </si>
  <si>
    <t>Promocionar al país, sus productos y el portafolio de proyectos de inversión mediante
la disposición de información por diferentes medios según la planificación de las
sedes diplomáticas.</t>
  </si>
  <si>
    <t>Creación de una marca país que nos identifique, fundamentada en nuestros valores,
la calidad de vida y la aptitud para los negocios.</t>
  </si>
  <si>
    <t>Impulso de una estrategia diplomática para contrarrestar efectos de potenciales
decisiones negativas al país.</t>
  </si>
  <si>
    <t>Realizar un monitoreo de medios internacionales para identificar información adversa
al país y adoptar las acciones para contrarrestarla.</t>
  </si>
  <si>
    <t>4.5.2.7 Promover el turismo en el exterior.</t>
  </si>
  <si>
    <t>Reestructurar y fortalecer la institucionalidad del turismo con el objeto de posicionarlo
como un eje estratégico para el desarrollo económico, para ello, se deberá crear el
gabinete de turismo, impulsar el Plan Nacional de Desarrollo Turístico, fortalecer el
Programa de Agregados, Inversión y Turismo (PACIT) e impulsar a través de las sedes
diplomáticas una estrategia que permita que nuestro país mejorar las posibilidades
como destino turístico.</t>
  </si>
  <si>
    <t>Inversión en infraestructura para el turismo, seguridad, la creación de un centro de
información turística y el desarrollo de nuevos destinos turísticos.</t>
  </si>
  <si>
    <t>Mejorar la imagen del país y creación de la marca país que nos identifique del resto
de países con los que competimos a nivel internacional.</t>
  </si>
  <si>
    <t>Fomento de la inversión privada en el sector turismo, mediante incentivos fiscales
focalizados, prestación de asistencia técnica y financiera y la constitución de
encadenamientos productivos y capacitación para una buena gestión.</t>
  </si>
  <si>
    <t>Impulso del turismo interno por medio de eventos deportivos, culturales, sociales,
familiares, religiosos y educativos.</t>
  </si>
  <si>
    <t>Propiciar la capacitación y profesionalización en el sector turismo mediante la
promoción de carreras técnicas para persona enfocadas en el sector turismo.</t>
  </si>
  <si>
    <t>Total de Objetivos Sectoriales</t>
  </si>
  <si>
    <t>Total de Acciones Estratégicas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</si>
</sst>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theme="1"/>
      <name val="Calibri"/>
      <family val="2"/>
      <scheme val="minor"/>
    </font>
    <font>
      <sz val="16"/>
      <color theme="1"/>
      <name val="Candara"/>
      <family val="2"/>
    </font>
    <font>
      <b/>
      <u/>
      <sz val="16"/>
      <color theme="1"/>
      <name val="Candara"/>
      <family val="2"/>
    </font>
    <font>
      <sz val="16"/>
      <name val="Candara"/>
      <family val="2"/>
    </font>
    <font>
      <u/>
      <sz val="16"/>
      <color theme="1"/>
      <name val="Candara"/>
      <family val="2"/>
    </font>
    <font>
      <b/>
      <sz val="16"/>
      <color theme="0"/>
      <name val="Candara"/>
      <family val="2"/>
    </font>
    <font>
      <sz val="16"/>
      <color theme="1"/>
      <name val="Calibri"/>
      <family val="2"/>
      <scheme val="minor"/>
    </font>
    <font>
      <sz val="16"/>
      <name val="Calibri"/>
      <family val="2"/>
      <scheme val="minor"/>
    </font>
    <font>
      <b/>
      <sz val="16"/>
      <color theme="1"/>
      <name val="Calibri"/>
      <family val="2"/>
      <scheme val="minor"/>
    </font>
    <font>
      <b/>
      <sz val="16"/>
      <color theme="0"/>
      <name val="Calibri"/>
      <family val="2"/>
      <scheme val="minor"/>
    </font>
    <font>
      <sz val="11"/>
      <color theme="0"/>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9" tint="0.79998168889431442"/>
        <bgColor indexed="64"/>
      </patternFill>
    </fill>
  </fills>
  <borders count="2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thin">
        <color auto="1"/>
      </bottom>
      <diagonal/>
    </border>
    <border>
      <left style="medium">
        <color indexed="64"/>
      </left>
      <right style="thin">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medium">
        <color indexed="64"/>
      </left>
      <right style="thin">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thin">
        <color auto="1"/>
      </top>
      <bottom style="thin">
        <color auto="1"/>
      </bottom>
      <diagonal/>
    </border>
    <border>
      <left style="thin">
        <color auto="1"/>
      </left>
      <right style="thin">
        <color auto="1"/>
      </right>
      <top style="thin">
        <color auto="1"/>
      </top>
      <bottom/>
      <diagonal/>
    </border>
    <border>
      <left style="thin">
        <color indexed="64"/>
      </left>
      <right style="medium">
        <color indexed="64"/>
      </right>
      <top style="thin">
        <color auto="1"/>
      </top>
      <bottom/>
      <diagonal/>
    </border>
    <border>
      <left style="medium">
        <color indexed="64"/>
      </left>
      <right style="thin">
        <color indexed="64"/>
      </right>
      <top style="thin">
        <color auto="1"/>
      </top>
      <bottom/>
      <diagonal/>
    </border>
    <border>
      <left style="medium">
        <color indexed="64"/>
      </left>
      <right/>
      <top/>
      <bottom style="thin">
        <color auto="1"/>
      </bottom>
      <diagonal/>
    </border>
    <border>
      <left style="medium">
        <color indexed="64"/>
      </left>
      <right/>
      <top style="thin">
        <color auto="1"/>
      </top>
      <bottom/>
      <diagonal/>
    </border>
  </borders>
  <cellStyleXfs count="2">
    <xf numFmtId="0" fontId="0" fillId="0" borderId="0"/>
    <xf numFmtId="0" fontId="1" fillId="0" borderId="0"/>
  </cellStyleXfs>
  <cellXfs count="121">
    <xf numFmtId="0" fontId="0" fillId="0" borderId="0" xfId="0"/>
    <xf numFmtId="0" fontId="7" fillId="0" borderId="0" xfId="0" applyFont="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4" xfId="0" applyFont="1" applyFill="1" applyBorder="1" applyAlignment="1">
      <alignment horizontal="center" vertical="center"/>
    </xf>
    <xf numFmtId="0" fontId="0" fillId="0" borderId="0" xfId="0" applyAlignment="1">
      <alignment horizontal="center"/>
    </xf>
    <xf numFmtId="0" fontId="9" fillId="0" borderId="0" xfId="0" applyFont="1" applyFill="1" applyBorder="1" applyAlignment="1">
      <alignment vertical="center"/>
    </xf>
    <xf numFmtId="0" fontId="0" fillId="0" borderId="0" xfId="0" applyBorder="1"/>
    <xf numFmtId="0" fontId="0" fillId="0" borderId="0" xfId="0" applyFont="1"/>
    <xf numFmtId="0" fontId="0" fillId="0" borderId="0" xfId="0" applyFont="1" applyAlignment="1">
      <alignment horizontal="left"/>
    </xf>
    <xf numFmtId="0" fontId="10" fillId="4" borderId="1" xfId="1" applyFont="1" applyFill="1" applyBorder="1" applyAlignment="1">
      <alignment horizontal="center" vertical="center" wrapText="1"/>
    </xf>
    <xf numFmtId="0" fontId="10" fillId="4" borderId="1" xfId="1" applyFont="1" applyFill="1" applyBorder="1" applyAlignment="1">
      <alignment horizontal="left" vertical="center" wrapText="1"/>
    </xf>
    <xf numFmtId="0" fontId="10" fillId="4" borderId="2" xfId="1" applyFont="1" applyFill="1" applyBorder="1" applyAlignment="1">
      <alignment horizontal="center" vertical="center" wrapText="1"/>
    </xf>
    <xf numFmtId="0" fontId="10" fillId="4" borderId="3" xfId="1" applyFont="1" applyFill="1" applyBorder="1" applyAlignment="1">
      <alignment horizontal="center" vertical="center" wrapText="1"/>
    </xf>
    <xf numFmtId="0" fontId="6" fillId="4" borderId="1" xfId="1" applyFont="1" applyFill="1" applyBorder="1" applyAlignment="1">
      <alignment horizontal="center" vertical="center" wrapText="1"/>
    </xf>
    <xf numFmtId="0" fontId="6" fillId="4" borderId="2" xfId="1" applyFont="1" applyFill="1" applyBorder="1" applyAlignment="1">
      <alignment horizontal="center" vertical="center" wrapText="1"/>
    </xf>
    <xf numFmtId="0" fontId="6" fillId="4" borderId="6" xfId="1" applyFont="1" applyFill="1" applyBorder="1" applyAlignment="1">
      <alignment horizontal="center" vertical="center" wrapText="1"/>
    </xf>
    <xf numFmtId="0" fontId="7" fillId="2" borderId="4" xfId="1" applyFont="1" applyFill="1" applyBorder="1" applyAlignment="1">
      <alignment horizontal="justify" vertical="center" wrapText="1"/>
    </xf>
    <xf numFmtId="0" fontId="7" fillId="2" borderId="4" xfId="1" applyFont="1" applyFill="1" applyBorder="1" applyAlignment="1">
      <alignment vertical="center" wrapText="1"/>
    </xf>
    <xf numFmtId="0" fontId="7" fillId="2" borderId="4" xfId="1" applyFont="1" applyFill="1" applyBorder="1" applyAlignment="1">
      <alignment horizontal="left" vertical="center" wrapText="1"/>
    </xf>
    <xf numFmtId="0" fontId="8" fillId="2" borderId="4" xfId="1" applyFont="1" applyFill="1" applyBorder="1" applyAlignment="1">
      <alignment horizontal="left" vertical="center" wrapText="1"/>
    </xf>
    <xf numFmtId="0" fontId="7" fillId="2" borderId="5" xfId="1" applyFont="1" applyFill="1" applyBorder="1" applyAlignment="1">
      <alignment vertical="center" wrapText="1"/>
    </xf>
    <xf numFmtId="0" fontId="7" fillId="2" borderId="5" xfId="1" applyFont="1" applyFill="1" applyBorder="1" applyAlignment="1">
      <alignment horizontal="justify" vertical="center" wrapText="1"/>
    </xf>
    <xf numFmtId="0" fontId="7" fillId="2" borderId="5" xfId="1" applyFont="1" applyFill="1" applyBorder="1" applyAlignment="1">
      <alignment horizontal="left" vertical="center" wrapText="1"/>
    </xf>
    <xf numFmtId="0" fontId="8" fillId="2" borderId="5" xfId="1" applyFont="1" applyFill="1" applyBorder="1" applyAlignment="1">
      <alignment horizontal="left"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wrapText="1"/>
    </xf>
    <xf numFmtId="0" fontId="2" fillId="2" borderId="4" xfId="1" applyFont="1" applyFill="1" applyBorder="1" applyAlignment="1">
      <alignment horizontal="justify" vertical="center" wrapText="1"/>
    </xf>
    <xf numFmtId="0" fontId="2" fillId="2" borderId="4" xfId="1" applyFont="1" applyFill="1" applyBorder="1" applyAlignment="1">
      <alignment vertical="center" wrapText="1"/>
    </xf>
    <xf numFmtId="0" fontId="2" fillId="2" borderId="4" xfId="1" applyFont="1" applyFill="1" applyBorder="1" applyAlignment="1">
      <alignment horizontal="left" vertical="center" wrapText="1"/>
    </xf>
    <xf numFmtId="0" fontId="2" fillId="2" borderId="4" xfId="1" applyFont="1" applyFill="1" applyBorder="1" applyAlignment="1">
      <alignment horizontal="center" vertical="center" wrapText="1"/>
    </xf>
    <xf numFmtId="0" fontId="2" fillId="2" borderId="8" xfId="1" applyFont="1" applyFill="1" applyBorder="1" applyAlignment="1">
      <alignment vertical="center" wrapText="1"/>
    </xf>
    <xf numFmtId="0" fontId="2" fillId="2" borderId="9" xfId="1" applyFont="1" applyFill="1" applyBorder="1" applyAlignment="1">
      <alignment vertical="center" wrapText="1"/>
    </xf>
    <xf numFmtId="0" fontId="4" fillId="2" borderId="4" xfId="1" applyFont="1" applyFill="1" applyBorder="1" applyAlignment="1">
      <alignment horizontal="center" vertical="center" wrapText="1"/>
    </xf>
    <xf numFmtId="0" fontId="2" fillId="2" borderId="5" xfId="1" applyFont="1" applyFill="1" applyBorder="1" applyAlignment="1">
      <alignment horizontal="left" vertical="center" wrapText="1"/>
    </xf>
    <xf numFmtId="0" fontId="2" fillId="2" borderId="5" xfId="1" applyFont="1" applyFill="1" applyBorder="1" applyAlignment="1">
      <alignment horizontal="justify" vertical="center" wrapText="1"/>
    </xf>
    <xf numFmtId="0" fontId="4" fillId="2" borderId="5" xfId="1" applyFont="1" applyFill="1" applyBorder="1" applyAlignment="1">
      <alignment horizontal="center" vertical="center" wrapText="1"/>
    </xf>
    <xf numFmtId="0" fontId="2" fillId="2" borderId="5" xfId="1" applyFont="1" applyFill="1" applyBorder="1" applyAlignment="1">
      <alignment vertical="center" wrapText="1"/>
    </xf>
    <xf numFmtId="0" fontId="2" fillId="2" borderId="11" xfId="1" applyFont="1" applyFill="1" applyBorder="1" applyAlignment="1">
      <alignment horizontal="justify" vertical="center" wrapText="1"/>
    </xf>
    <xf numFmtId="0" fontId="2" fillId="2" borderId="11" xfId="1" applyFont="1" applyFill="1" applyBorder="1" applyAlignment="1">
      <alignment horizontal="center" vertical="center" wrapText="1"/>
    </xf>
    <xf numFmtId="0" fontId="2" fillId="2" borderId="12" xfId="1" applyFont="1" applyFill="1" applyBorder="1" applyAlignment="1">
      <alignment vertical="center" wrapText="1"/>
    </xf>
    <xf numFmtId="0" fontId="2" fillId="2" borderId="12" xfId="1" applyFont="1" applyFill="1" applyBorder="1" applyAlignment="1">
      <alignment horizontal="left" vertical="center" wrapText="1"/>
    </xf>
    <xf numFmtId="0" fontId="4" fillId="2" borderId="12" xfId="1" applyFont="1" applyFill="1" applyBorder="1" applyAlignment="1">
      <alignment horizontal="center" vertical="center" wrapText="1"/>
    </xf>
    <xf numFmtId="0" fontId="2" fillId="2" borderId="13" xfId="1" applyFont="1" applyFill="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0" fillId="5" borderId="18" xfId="0" applyFill="1" applyBorder="1"/>
    <xf numFmtId="0" fontId="0" fillId="5" borderId="7" xfId="0" applyFill="1" applyBorder="1"/>
    <xf numFmtId="0" fontId="0" fillId="5" borderId="24" xfId="0" applyFill="1" applyBorder="1"/>
    <xf numFmtId="0" fontId="0" fillId="5" borderId="10" xfId="0" applyFill="1" applyBorder="1"/>
    <xf numFmtId="0" fontId="0" fillId="5" borderId="14" xfId="0" applyFill="1" applyBorder="1"/>
    <xf numFmtId="0" fontId="0" fillId="6" borderId="7" xfId="0" applyFill="1" applyBorder="1"/>
    <xf numFmtId="0" fontId="0" fillId="6" borderId="24" xfId="0" applyFill="1" applyBorder="1"/>
    <xf numFmtId="0" fontId="0" fillId="6" borderId="18" xfId="0" applyFill="1" applyBorder="1" applyAlignment="1">
      <alignment wrapText="1"/>
    </xf>
    <xf numFmtId="0" fontId="11" fillId="7" borderId="1" xfId="0" applyFont="1" applyFill="1" applyBorder="1" applyAlignment="1">
      <alignment horizontal="center"/>
    </xf>
    <xf numFmtId="0" fontId="11" fillId="7" borderId="3" xfId="0" applyFont="1" applyFill="1" applyBorder="1" applyAlignment="1">
      <alignment horizontal="center" vertical="center"/>
    </xf>
    <xf numFmtId="0" fontId="11" fillId="7" borderId="2" xfId="0" applyFont="1" applyFill="1" applyBorder="1" applyAlignment="1">
      <alignment horizontal="center" vertical="center"/>
    </xf>
    <xf numFmtId="0" fontId="11" fillId="7" borderId="6" xfId="0" applyFont="1" applyFill="1" applyBorder="1" applyAlignment="1">
      <alignment horizontal="center"/>
    </xf>
    <xf numFmtId="0" fontId="0" fillId="8" borderId="25" xfId="0" applyFill="1" applyBorder="1" applyAlignment="1">
      <alignment vertical="center"/>
    </xf>
    <xf numFmtId="0" fontId="0" fillId="8" borderId="14" xfId="0" applyFill="1" applyBorder="1" applyAlignment="1">
      <alignment horizontal="center" vertical="center"/>
    </xf>
    <xf numFmtId="0" fontId="0" fillId="8" borderId="4" xfId="0" applyFill="1" applyBorder="1" applyAlignment="1">
      <alignment horizontal="left" vertical="center" wrapText="1"/>
    </xf>
    <xf numFmtId="0" fontId="0" fillId="8" borderId="4" xfId="0" applyFill="1" applyBorder="1" applyAlignment="1">
      <alignment horizontal="center" vertical="center" wrapText="1"/>
    </xf>
    <xf numFmtId="0" fontId="0" fillId="8" borderId="8" xfId="0" applyFill="1" applyBorder="1" applyAlignment="1">
      <alignment wrapText="1"/>
    </xf>
    <xf numFmtId="0" fontId="0" fillId="8" borderId="21" xfId="0" applyFill="1" applyBorder="1"/>
    <xf numFmtId="0" fontId="0" fillId="8" borderId="7" xfId="0" applyFill="1" applyBorder="1" applyAlignment="1">
      <alignment horizontal="center" vertical="center"/>
    </xf>
    <xf numFmtId="0" fontId="0" fillId="8" borderId="5" xfId="0" applyFill="1" applyBorder="1" applyAlignment="1">
      <alignment vertical="center"/>
    </xf>
    <xf numFmtId="0" fontId="0" fillId="8" borderId="5" xfId="0" applyFill="1" applyBorder="1" applyAlignment="1">
      <alignment horizontal="center" vertical="center"/>
    </xf>
    <xf numFmtId="0" fontId="0" fillId="8" borderId="9" xfId="0" applyFill="1" applyBorder="1" applyAlignment="1">
      <alignment wrapText="1"/>
    </xf>
    <xf numFmtId="0" fontId="0" fillId="8" borderId="10" xfId="0" applyFill="1" applyBorder="1" applyAlignment="1">
      <alignment horizontal="center" vertical="center"/>
    </xf>
    <xf numFmtId="0" fontId="0" fillId="8" borderId="12" xfId="0" applyFill="1" applyBorder="1" applyAlignment="1">
      <alignment vertical="center"/>
    </xf>
    <xf numFmtId="0" fontId="0" fillId="8" borderId="12" xfId="0" applyFill="1" applyBorder="1" applyAlignment="1">
      <alignment horizontal="center" vertical="center"/>
    </xf>
    <xf numFmtId="0" fontId="0" fillId="8" borderId="13" xfId="0" applyFill="1" applyBorder="1" applyAlignment="1">
      <alignment wrapText="1"/>
    </xf>
    <xf numFmtId="0" fontId="0" fillId="8" borderId="18" xfId="0" applyFill="1" applyBorder="1" applyAlignment="1">
      <alignment horizontal="center" vertical="center"/>
    </xf>
    <xf numFmtId="0" fontId="0" fillId="8" borderId="19" xfId="0" applyFill="1" applyBorder="1" applyAlignment="1">
      <alignment vertical="center" wrapText="1"/>
    </xf>
    <xf numFmtId="0" fontId="0" fillId="8" borderId="19" xfId="0" applyFill="1" applyBorder="1" applyAlignment="1">
      <alignment horizontal="center" vertical="center"/>
    </xf>
    <xf numFmtId="0" fontId="0" fillId="8" borderId="20" xfId="0" applyFill="1" applyBorder="1" applyAlignment="1">
      <alignment vertical="center" wrapText="1"/>
    </xf>
    <xf numFmtId="0" fontId="0" fillId="8" borderId="20" xfId="0" applyFill="1" applyBorder="1" applyAlignment="1">
      <alignment wrapText="1"/>
    </xf>
    <xf numFmtId="0" fontId="0" fillId="8" borderId="4" xfId="0" applyFill="1" applyBorder="1" applyAlignment="1">
      <alignment vertical="center" wrapText="1"/>
    </xf>
    <xf numFmtId="0" fontId="0" fillId="8" borderId="4" xfId="0" applyFill="1" applyBorder="1" applyAlignment="1">
      <alignment horizontal="center" vertical="center"/>
    </xf>
    <xf numFmtId="0" fontId="0" fillId="8" borderId="24" xfId="0" applyFill="1" applyBorder="1" applyAlignment="1">
      <alignment horizontal="center" vertical="center"/>
    </xf>
    <xf numFmtId="0" fontId="0" fillId="8" borderId="22" xfId="0" applyFill="1" applyBorder="1" applyAlignment="1">
      <alignment vertical="center"/>
    </xf>
    <xf numFmtId="0" fontId="0" fillId="8" borderId="22" xfId="0" applyFill="1" applyBorder="1" applyAlignment="1">
      <alignment horizontal="center" vertical="center"/>
    </xf>
    <xf numFmtId="0" fontId="0" fillId="8" borderId="23" xfId="0" applyFill="1" applyBorder="1" applyAlignment="1">
      <alignment wrapText="1"/>
    </xf>
    <xf numFmtId="0" fontId="0" fillId="8" borderId="19" xfId="0" applyFill="1" applyBorder="1" applyAlignment="1">
      <alignment horizontal="left" vertical="center"/>
    </xf>
    <xf numFmtId="0" fontId="0" fillId="8" borderId="20" xfId="0" applyFill="1" applyBorder="1" applyAlignment="1">
      <alignment horizontal="left" wrapText="1"/>
    </xf>
    <xf numFmtId="0" fontId="0" fillId="8" borderId="12" xfId="0" applyFill="1" applyBorder="1" applyAlignment="1">
      <alignment horizontal="left" vertical="center"/>
    </xf>
    <xf numFmtId="0" fontId="0" fillId="8" borderId="13" xfId="0" applyFill="1" applyBorder="1" applyAlignment="1">
      <alignment horizontal="left" wrapText="1"/>
    </xf>
    <xf numFmtId="0" fontId="0" fillId="8" borderId="26" xfId="0" applyFill="1" applyBorder="1"/>
    <xf numFmtId="0" fontId="0" fillId="5" borderId="19" xfId="0" applyFill="1" applyBorder="1" applyAlignment="1">
      <alignment horizontal="center" vertical="center"/>
    </xf>
    <xf numFmtId="0" fontId="0" fillId="5" borderId="19" xfId="0" applyFill="1" applyBorder="1" applyAlignment="1">
      <alignment vertical="center" wrapText="1"/>
    </xf>
    <xf numFmtId="0" fontId="0" fillId="5" borderId="20" xfId="0" applyFill="1" applyBorder="1" applyAlignment="1">
      <alignment wrapText="1"/>
    </xf>
    <xf numFmtId="0" fontId="0" fillId="5" borderId="5" xfId="0" applyFill="1" applyBorder="1" applyAlignment="1">
      <alignment horizontal="center" vertical="center"/>
    </xf>
    <xf numFmtId="0" fontId="0" fillId="5" borderId="5" xfId="0" applyFill="1" applyBorder="1" applyAlignment="1">
      <alignment vertical="center"/>
    </xf>
    <xf numFmtId="0" fontId="0" fillId="5" borderId="9" xfId="0" applyFill="1" applyBorder="1" applyAlignment="1">
      <alignment wrapText="1"/>
    </xf>
    <xf numFmtId="0" fontId="0" fillId="5" borderId="5" xfId="0" applyFill="1" applyBorder="1" applyAlignment="1">
      <alignment vertical="center" wrapText="1"/>
    </xf>
    <xf numFmtId="0" fontId="0" fillId="5" borderId="22" xfId="0" applyFill="1" applyBorder="1" applyAlignment="1">
      <alignment horizontal="center" vertical="center"/>
    </xf>
    <xf numFmtId="0" fontId="0" fillId="5" borderId="22" xfId="0" applyFill="1" applyBorder="1" applyAlignment="1">
      <alignment vertical="center"/>
    </xf>
    <xf numFmtId="0" fontId="0" fillId="5" borderId="23" xfId="0" applyFill="1" applyBorder="1" applyAlignment="1">
      <alignment wrapText="1"/>
    </xf>
    <xf numFmtId="0" fontId="0" fillId="8" borderId="18" xfId="0" applyFill="1" applyBorder="1" applyAlignment="1">
      <alignment wrapText="1"/>
    </xf>
    <xf numFmtId="0" fontId="0" fillId="8" borderId="7" xfId="0" applyFill="1" applyBorder="1"/>
    <xf numFmtId="0" fontId="0" fillId="8" borderId="5" xfId="0" applyFill="1" applyBorder="1" applyAlignment="1">
      <alignment vertical="center" wrapText="1"/>
    </xf>
    <xf numFmtId="0" fontId="0" fillId="8" borderId="10" xfId="0" applyFill="1" applyBorder="1"/>
    <xf numFmtId="0" fontId="0" fillId="6" borderId="19" xfId="0" applyFill="1" applyBorder="1" applyAlignment="1">
      <alignment horizontal="center" vertical="center"/>
    </xf>
    <xf numFmtId="0" fontId="0" fillId="6" borderId="19" xfId="0" applyFill="1" applyBorder="1" applyAlignment="1">
      <alignment vertical="center"/>
    </xf>
    <xf numFmtId="0" fontId="0" fillId="6" borderId="20" xfId="0" applyFill="1" applyBorder="1" applyAlignment="1">
      <alignment wrapText="1"/>
    </xf>
    <xf numFmtId="0" fontId="0" fillId="6" borderId="5" xfId="0" applyFill="1" applyBorder="1" applyAlignment="1">
      <alignment horizontal="center" vertical="center"/>
    </xf>
    <xf numFmtId="0" fontId="0" fillId="6" borderId="5" xfId="0" applyFill="1" applyBorder="1" applyAlignment="1">
      <alignment vertical="center"/>
    </xf>
    <xf numFmtId="0" fontId="0" fillId="6" borderId="9" xfId="0" applyFill="1" applyBorder="1" applyAlignment="1">
      <alignment wrapText="1"/>
    </xf>
    <xf numFmtId="0" fontId="0" fillId="6" borderId="5" xfId="0" applyFill="1" applyBorder="1" applyAlignment="1">
      <alignment vertical="center" wrapText="1"/>
    </xf>
    <xf numFmtId="0" fontId="0" fillId="6" borderId="22" xfId="0" applyFill="1" applyBorder="1" applyAlignment="1">
      <alignment horizontal="center" vertical="center"/>
    </xf>
    <xf numFmtId="0" fontId="0" fillId="6" borderId="22" xfId="0" applyFill="1" applyBorder="1" applyAlignment="1">
      <alignment vertical="center"/>
    </xf>
    <xf numFmtId="0" fontId="0" fillId="6" borderId="23" xfId="0" applyFill="1" applyBorder="1" applyAlignment="1">
      <alignment wrapText="1"/>
    </xf>
    <xf numFmtId="0" fontId="0" fillId="5" borderId="12" xfId="0" applyFill="1" applyBorder="1" applyAlignment="1">
      <alignment horizontal="center" vertical="center"/>
    </xf>
    <xf numFmtId="0" fontId="0" fillId="5" borderId="12" xfId="0" applyFill="1" applyBorder="1" applyAlignment="1">
      <alignment vertical="center"/>
    </xf>
    <xf numFmtId="0" fontId="0" fillId="5" borderId="13" xfId="0" applyFill="1" applyBorder="1" applyAlignment="1">
      <alignment wrapText="1"/>
    </xf>
    <xf numFmtId="0" fontId="0" fillId="5" borderId="4" xfId="0" applyFill="1" applyBorder="1" applyAlignment="1">
      <alignment horizontal="center" vertical="center"/>
    </xf>
    <xf numFmtId="0" fontId="0" fillId="5" borderId="4" xfId="0" applyFill="1" applyBorder="1" applyAlignment="1">
      <alignment vertical="center" wrapText="1"/>
    </xf>
    <xf numFmtId="0" fontId="0" fillId="5" borderId="8" xfId="0" applyFill="1" applyBorder="1" applyAlignment="1">
      <alignment wrapText="1"/>
    </xf>
    <xf numFmtId="0" fontId="9" fillId="3" borderId="15" xfId="0" applyFont="1" applyFill="1" applyBorder="1" applyAlignment="1">
      <alignment horizontal="center" vertical="center"/>
    </xf>
    <xf numFmtId="0" fontId="9" fillId="3" borderId="16" xfId="0" applyFont="1" applyFill="1" applyBorder="1" applyAlignment="1">
      <alignment horizontal="center" vertical="center"/>
    </xf>
    <xf numFmtId="0" fontId="9" fillId="3" borderId="17" xfId="0" applyFont="1" applyFill="1" applyBorder="1" applyAlignment="1">
      <alignment horizontal="center" vertical="center"/>
    </xf>
  </cellXfs>
  <cellStyles count="2">
    <cellStyle name="Normal" xfId="0" builtinId="0"/>
    <cellStyle name="Normal 10"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H52"/>
  <sheetViews>
    <sheetView topLeftCell="B1" zoomScale="70" zoomScaleNormal="70" workbookViewId="0">
      <selection activeCell="J5" sqref="J5"/>
    </sheetView>
  </sheetViews>
  <sheetFormatPr baseColWidth="10" defaultRowHeight="21" x14ac:dyDescent="0.25"/>
  <cols>
    <col min="1" max="1" width="6.140625" style="1" bestFit="1" customWidth="1"/>
    <col min="2" max="2" width="18.85546875" customWidth="1"/>
    <col min="3" max="3" width="21.85546875" customWidth="1"/>
    <col min="4" max="4" width="45.28515625" customWidth="1"/>
    <col min="5" max="5" width="52.85546875" customWidth="1"/>
    <col min="6" max="6" width="45.42578125" customWidth="1"/>
    <col min="7" max="7" width="37.85546875" style="5" customWidth="1"/>
    <col min="8" max="8" width="46.85546875" customWidth="1"/>
  </cols>
  <sheetData>
    <row r="1" spans="1:8" ht="34.5" customHeight="1" thickBot="1" x14ac:dyDescent="0.3">
      <c r="A1" s="118" t="s">
        <v>126</v>
      </c>
      <c r="B1" s="119"/>
      <c r="C1" s="119"/>
      <c r="D1" s="119"/>
      <c r="E1" s="119"/>
      <c r="F1" s="119"/>
      <c r="G1" s="119"/>
      <c r="H1" s="120"/>
    </row>
    <row r="2" spans="1:8" ht="42.75" thickBot="1" x14ac:dyDescent="0.3">
      <c r="A2" s="14" t="s">
        <v>125</v>
      </c>
      <c r="B2" s="15" t="s">
        <v>0</v>
      </c>
      <c r="C2" s="15" t="s">
        <v>1</v>
      </c>
      <c r="D2" s="15" t="s">
        <v>2</v>
      </c>
      <c r="E2" s="15" t="s">
        <v>3</v>
      </c>
      <c r="F2" s="15" t="s">
        <v>4</v>
      </c>
      <c r="G2" s="15" t="s">
        <v>5</v>
      </c>
      <c r="H2" s="16" t="s">
        <v>6</v>
      </c>
    </row>
    <row r="3" spans="1:8" ht="147" x14ac:dyDescent="0.25">
      <c r="A3" s="4">
        <v>1</v>
      </c>
      <c r="B3" s="27" t="s">
        <v>7</v>
      </c>
      <c r="C3" s="27" t="s">
        <v>8</v>
      </c>
      <c r="D3" s="27" t="s">
        <v>9</v>
      </c>
      <c r="E3" s="28" t="s">
        <v>10</v>
      </c>
      <c r="F3" s="29" t="s">
        <v>11</v>
      </c>
      <c r="G3" s="30" t="s">
        <v>12</v>
      </c>
      <c r="H3" s="31" t="s">
        <v>13</v>
      </c>
    </row>
    <row r="4" spans="1:8" ht="147" x14ac:dyDescent="0.25">
      <c r="A4" s="2">
        <f>A3+1</f>
        <v>2</v>
      </c>
      <c r="B4" s="27" t="s">
        <v>7</v>
      </c>
      <c r="C4" s="27" t="s">
        <v>8</v>
      </c>
      <c r="D4" s="27" t="s">
        <v>9</v>
      </c>
      <c r="E4" s="28" t="s">
        <v>10</v>
      </c>
      <c r="F4" s="29" t="s">
        <v>11</v>
      </c>
      <c r="G4" s="30" t="s">
        <v>12</v>
      </c>
      <c r="H4" s="32" t="s">
        <v>14</v>
      </c>
    </row>
    <row r="5" spans="1:8" ht="215.25" customHeight="1" x14ac:dyDescent="0.25">
      <c r="A5" s="2">
        <f t="shared" ref="A5:A52" si="0">A4+1</f>
        <v>3</v>
      </c>
      <c r="B5" s="27" t="s">
        <v>7</v>
      </c>
      <c r="C5" s="27" t="s">
        <v>8</v>
      </c>
      <c r="D5" s="27" t="s">
        <v>9</v>
      </c>
      <c r="E5" s="28" t="s">
        <v>10</v>
      </c>
      <c r="F5" s="29" t="s">
        <v>15</v>
      </c>
      <c r="G5" s="33" t="s">
        <v>12</v>
      </c>
      <c r="H5" s="32" t="s">
        <v>16</v>
      </c>
    </row>
    <row r="6" spans="1:8" ht="168" x14ac:dyDescent="0.25">
      <c r="A6" s="2">
        <f t="shared" si="0"/>
        <v>4</v>
      </c>
      <c r="B6" s="27" t="s">
        <v>7</v>
      </c>
      <c r="C6" s="27" t="s">
        <v>8</v>
      </c>
      <c r="D6" s="27" t="s">
        <v>9</v>
      </c>
      <c r="E6" s="28" t="s">
        <v>10</v>
      </c>
      <c r="F6" s="34" t="s">
        <v>15</v>
      </c>
      <c r="G6" s="33" t="s">
        <v>12</v>
      </c>
      <c r="H6" s="32" t="s">
        <v>17</v>
      </c>
    </row>
    <row r="7" spans="1:8" ht="189" x14ac:dyDescent="0.25">
      <c r="A7" s="2">
        <f t="shared" si="0"/>
        <v>5</v>
      </c>
      <c r="B7" s="27" t="s">
        <v>7</v>
      </c>
      <c r="C7" s="27" t="s">
        <v>8</v>
      </c>
      <c r="D7" s="35" t="s">
        <v>9</v>
      </c>
      <c r="E7" s="34" t="s">
        <v>10</v>
      </c>
      <c r="F7" s="34" t="s">
        <v>18</v>
      </c>
      <c r="G7" s="36" t="s">
        <v>12</v>
      </c>
      <c r="H7" s="32" t="s">
        <v>19</v>
      </c>
    </row>
    <row r="8" spans="1:8" ht="189" x14ac:dyDescent="0.25">
      <c r="A8" s="2">
        <f t="shared" si="0"/>
        <v>6</v>
      </c>
      <c r="B8" s="27" t="s">
        <v>7</v>
      </c>
      <c r="C8" s="27" t="s">
        <v>8</v>
      </c>
      <c r="D8" s="35" t="s">
        <v>9</v>
      </c>
      <c r="E8" s="34" t="s">
        <v>10</v>
      </c>
      <c r="F8" s="34" t="s">
        <v>20</v>
      </c>
      <c r="G8" s="36" t="s">
        <v>12</v>
      </c>
      <c r="H8" s="32" t="s">
        <v>21</v>
      </c>
    </row>
    <row r="9" spans="1:8" ht="168" x14ac:dyDescent="0.25">
      <c r="A9" s="2">
        <f t="shared" si="0"/>
        <v>7</v>
      </c>
      <c r="B9" s="27" t="s">
        <v>7</v>
      </c>
      <c r="C9" s="27" t="s">
        <v>8</v>
      </c>
      <c r="D9" s="35" t="s">
        <v>9</v>
      </c>
      <c r="E9" s="34" t="s">
        <v>22</v>
      </c>
      <c r="F9" s="34" t="s">
        <v>23</v>
      </c>
      <c r="G9" s="36" t="s">
        <v>12</v>
      </c>
      <c r="H9" s="32" t="s">
        <v>24</v>
      </c>
    </row>
    <row r="10" spans="1:8" ht="126" x14ac:dyDescent="0.25">
      <c r="A10" s="2">
        <f t="shared" si="0"/>
        <v>8</v>
      </c>
      <c r="B10" s="27" t="s">
        <v>7</v>
      </c>
      <c r="C10" s="27" t="s">
        <v>8</v>
      </c>
      <c r="D10" s="35" t="s">
        <v>9</v>
      </c>
      <c r="E10" s="34" t="s">
        <v>22</v>
      </c>
      <c r="F10" s="34" t="s">
        <v>123</v>
      </c>
      <c r="G10" s="36" t="s">
        <v>12</v>
      </c>
      <c r="H10" s="32" t="s">
        <v>25</v>
      </c>
    </row>
    <row r="11" spans="1:8" ht="126" x14ac:dyDescent="0.25">
      <c r="A11" s="2">
        <f t="shared" si="0"/>
        <v>9</v>
      </c>
      <c r="B11" s="27" t="s">
        <v>7</v>
      </c>
      <c r="C11" s="27" t="s">
        <v>8</v>
      </c>
      <c r="D11" s="35" t="s">
        <v>9</v>
      </c>
      <c r="E11" s="34" t="s">
        <v>22</v>
      </c>
      <c r="F11" s="34" t="s">
        <v>123</v>
      </c>
      <c r="G11" s="36" t="s">
        <v>12</v>
      </c>
      <c r="H11" s="32" t="s">
        <v>26</v>
      </c>
    </row>
    <row r="12" spans="1:8" ht="168" x14ac:dyDescent="0.25">
      <c r="A12" s="2">
        <f t="shared" si="0"/>
        <v>10</v>
      </c>
      <c r="B12" s="27" t="s">
        <v>7</v>
      </c>
      <c r="C12" s="30" t="s">
        <v>27</v>
      </c>
      <c r="D12" s="35" t="s">
        <v>28</v>
      </c>
      <c r="E12" s="34" t="s">
        <v>29</v>
      </c>
      <c r="F12" s="34" t="s">
        <v>30</v>
      </c>
      <c r="G12" s="36" t="s">
        <v>12</v>
      </c>
      <c r="H12" s="32" t="s">
        <v>31</v>
      </c>
    </row>
    <row r="13" spans="1:8" ht="210" x14ac:dyDescent="0.25">
      <c r="A13" s="2">
        <f t="shared" si="0"/>
        <v>11</v>
      </c>
      <c r="B13" s="27" t="s">
        <v>7</v>
      </c>
      <c r="C13" s="30" t="s">
        <v>27</v>
      </c>
      <c r="D13" s="35" t="s">
        <v>28</v>
      </c>
      <c r="E13" s="34" t="s">
        <v>29</v>
      </c>
      <c r="F13" s="34" t="s">
        <v>32</v>
      </c>
      <c r="G13" s="36" t="s">
        <v>12</v>
      </c>
      <c r="H13" s="32" t="s">
        <v>33</v>
      </c>
    </row>
    <row r="14" spans="1:8" ht="147" x14ac:dyDescent="0.25">
      <c r="A14" s="2">
        <f t="shared" si="0"/>
        <v>12</v>
      </c>
      <c r="B14" s="27" t="s">
        <v>7</v>
      </c>
      <c r="C14" s="30" t="s">
        <v>27</v>
      </c>
      <c r="D14" s="35" t="s">
        <v>28</v>
      </c>
      <c r="E14" s="34" t="s">
        <v>29</v>
      </c>
      <c r="F14" s="34" t="s">
        <v>123</v>
      </c>
      <c r="G14" s="36" t="s">
        <v>12</v>
      </c>
      <c r="H14" s="32" t="s">
        <v>34</v>
      </c>
    </row>
    <row r="15" spans="1:8" ht="147" x14ac:dyDescent="0.25">
      <c r="A15" s="2">
        <f t="shared" si="0"/>
        <v>13</v>
      </c>
      <c r="B15" s="27" t="s">
        <v>7</v>
      </c>
      <c r="C15" s="30" t="s">
        <v>27</v>
      </c>
      <c r="D15" s="35" t="s">
        <v>28</v>
      </c>
      <c r="E15" s="34" t="s">
        <v>29</v>
      </c>
      <c r="F15" s="34" t="s">
        <v>123</v>
      </c>
      <c r="G15" s="36" t="s">
        <v>12</v>
      </c>
      <c r="H15" s="32" t="s">
        <v>35</v>
      </c>
    </row>
    <row r="16" spans="1:8" ht="147" x14ac:dyDescent="0.25">
      <c r="A16" s="2">
        <f t="shared" si="0"/>
        <v>14</v>
      </c>
      <c r="B16" s="27" t="s">
        <v>7</v>
      </c>
      <c r="C16" s="30" t="s">
        <v>27</v>
      </c>
      <c r="D16" s="35" t="s">
        <v>28</v>
      </c>
      <c r="E16" s="34" t="s">
        <v>29</v>
      </c>
      <c r="F16" s="34" t="s">
        <v>123</v>
      </c>
      <c r="G16" s="36" t="s">
        <v>12</v>
      </c>
      <c r="H16" s="32" t="s">
        <v>36</v>
      </c>
    </row>
    <row r="17" spans="1:8" ht="147" x14ac:dyDescent="0.25">
      <c r="A17" s="2">
        <f t="shared" si="0"/>
        <v>15</v>
      </c>
      <c r="B17" s="27" t="s">
        <v>7</v>
      </c>
      <c r="C17" s="30" t="s">
        <v>27</v>
      </c>
      <c r="D17" s="35" t="s">
        <v>28</v>
      </c>
      <c r="E17" s="34" t="s">
        <v>29</v>
      </c>
      <c r="F17" s="34" t="s">
        <v>123</v>
      </c>
      <c r="G17" s="36" t="s">
        <v>12</v>
      </c>
      <c r="H17" s="32" t="s">
        <v>37</v>
      </c>
    </row>
    <row r="18" spans="1:8" ht="126" x14ac:dyDescent="0.25">
      <c r="A18" s="2">
        <f t="shared" si="0"/>
        <v>16</v>
      </c>
      <c r="B18" s="27" t="s">
        <v>38</v>
      </c>
      <c r="C18" s="27" t="s">
        <v>39</v>
      </c>
      <c r="D18" s="35" t="s">
        <v>40</v>
      </c>
      <c r="E18" s="37" t="s">
        <v>41</v>
      </c>
      <c r="F18" s="34" t="s">
        <v>42</v>
      </c>
      <c r="G18" s="36" t="s">
        <v>43</v>
      </c>
      <c r="H18" s="32" t="s">
        <v>44</v>
      </c>
    </row>
    <row r="19" spans="1:8" ht="147" x14ac:dyDescent="0.25">
      <c r="A19" s="2">
        <f t="shared" si="0"/>
        <v>17</v>
      </c>
      <c r="B19" s="27" t="s">
        <v>38</v>
      </c>
      <c r="C19" s="30" t="s">
        <v>39</v>
      </c>
      <c r="D19" s="35" t="s">
        <v>46</v>
      </c>
      <c r="E19" s="37" t="s">
        <v>47</v>
      </c>
      <c r="F19" s="34" t="s">
        <v>48</v>
      </c>
      <c r="G19" s="36" t="s">
        <v>49</v>
      </c>
      <c r="H19" s="32" t="s">
        <v>50</v>
      </c>
    </row>
    <row r="20" spans="1:8" ht="168" x14ac:dyDescent="0.25">
      <c r="A20" s="2">
        <f t="shared" si="0"/>
        <v>18</v>
      </c>
      <c r="B20" s="35" t="s">
        <v>51</v>
      </c>
      <c r="C20" s="30" t="s">
        <v>52</v>
      </c>
      <c r="D20" s="34" t="s">
        <v>53</v>
      </c>
      <c r="E20" s="37" t="s">
        <v>54</v>
      </c>
      <c r="F20" s="34" t="s">
        <v>124</v>
      </c>
      <c r="G20" s="36" t="s">
        <v>43</v>
      </c>
      <c r="H20" s="32" t="s">
        <v>55</v>
      </c>
    </row>
    <row r="21" spans="1:8" ht="168" x14ac:dyDescent="0.25">
      <c r="A21" s="2">
        <f t="shared" si="0"/>
        <v>19</v>
      </c>
      <c r="B21" s="35" t="s">
        <v>51</v>
      </c>
      <c r="C21" s="30" t="s">
        <v>52</v>
      </c>
      <c r="D21" s="34" t="s">
        <v>53</v>
      </c>
      <c r="E21" s="37" t="s">
        <v>54</v>
      </c>
      <c r="F21" s="34" t="s">
        <v>124</v>
      </c>
      <c r="G21" s="36" t="s">
        <v>43</v>
      </c>
      <c r="H21" s="32" t="s">
        <v>56</v>
      </c>
    </row>
    <row r="22" spans="1:8" ht="168" x14ac:dyDescent="0.25">
      <c r="A22" s="2">
        <f t="shared" si="0"/>
        <v>20</v>
      </c>
      <c r="B22" s="35" t="s">
        <v>51</v>
      </c>
      <c r="C22" s="30" t="s">
        <v>52</v>
      </c>
      <c r="D22" s="34" t="s">
        <v>53</v>
      </c>
      <c r="E22" s="37" t="s">
        <v>54</v>
      </c>
      <c r="F22" s="34" t="s">
        <v>124</v>
      </c>
      <c r="G22" s="36" t="s">
        <v>43</v>
      </c>
      <c r="H22" s="32" t="s">
        <v>57</v>
      </c>
    </row>
    <row r="23" spans="1:8" ht="273" x14ac:dyDescent="0.25">
      <c r="A23" s="2">
        <f t="shared" si="0"/>
        <v>21</v>
      </c>
      <c r="B23" s="35" t="s">
        <v>51</v>
      </c>
      <c r="C23" s="30" t="s">
        <v>52</v>
      </c>
      <c r="D23" s="34" t="s">
        <v>53</v>
      </c>
      <c r="E23" s="37" t="s">
        <v>58</v>
      </c>
      <c r="F23" s="34" t="s">
        <v>59</v>
      </c>
      <c r="G23" s="36" t="s">
        <v>43</v>
      </c>
      <c r="H23" s="32" t="s">
        <v>60</v>
      </c>
    </row>
    <row r="24" spans="1:8" ht="168" x14ac:dyDescent="0.25">
      <c r="A24" s="2">
        <f t="shared" si="0"/>
        <v>22</v>
      </c>
      <c r="B24" s="35" t="s">
        <v>51</v>
      </c>
      <c r="C24" s="30" t="s">
        <v>52</v>
      </c>
      <c r="D24" s="34" t="s">
        <v>53</v>
      </c>
      <c r="E24" s="37" t="s">
        <v>54</v>
      </c>
      <c r="F24" s="34" t="s">
        <v>61</v>
      </c>
      <c r="G24" s="36" t="s">
        <v>43</v>
      </c>
      <c r="H24" s="32" t="s">
        <v>62</v>
      </c>
    </row>
    <row r="25" spans="1:8" ht="168" x14ac:dyDescent="0.25">
      <c r="A25" s="2">
        <f t="shared" si="0"/>
        <v>23</v>
      </c>
      <c r="B25" s="35" t="s">
        <v>51</v>
      </c>
      <c r="C25" s="30" t="s">
        <v>52</v>
      </c>
      <c r="D25" s="34" t="s">
        <v>53</v>
      </c>
      <c r="E25" s="37" t="s">
        <v>54</v>
      </c>
      <c r="F25" s="34" t="s">
        <v>61</v>
      </c>
      <c r="G25" s="36" t="s">
        <v>43</v>
      </c>
      <c r="H25" s="32" t="s">
        <v>63</v>
      </c>
    </row>
    <row r="26" spans="1:8" ht="126" x14ac:dyDescent="0.25">
      <c r="A26" s="2">
        <f t="shared" si="0"/>
        <v>24</v>
      </c>
      <c r="B26" s="35" t="s">
        <v>51</v>
      </c>
      <c r="C26" s="30" t="s">
        <v>52</v>
      </c>
      <c r="D26" s="34" t="s">
        <v>53</v>
      </c>
      <c r="E26" s="37" t="s">
        <v>64</v>
      </c>
      <c r="F26" s="34" t="s">
        <v>65</v>
      </c>
      <c r="G26" s="36" t="s">
        <v>66</v>
      </c>
      <c r="H26" s="32" t="s">
        <v>67</v>
      </c>
    </row>
    <row r="27" spans="1:8" ht="126" x14ac:dyDescent="0.25">
      <c r="A27" s="2">
        <f t="shared" si="0"/>
        <v>25</v>
      </c>
      <c r="B27" s="35" t="s">
        <v>51</v>
      </c>
      <c r="C27" s="30" t="s">
        <v>52</v>
      </c>
      <c r="D27" s="34" t="s">
        <v>53</v>
      </c>
      <c r="E27" s="37" t="s">
        <v>64</v>
      </c>
      <c r="F27" s="34" t="s">
        <v>65</v>
      </c>
      <c r="G27" s="36" t="s">
        <v>66</v>
      </c>
      <c r="H27" s="32" t="s">
        <v>68</v>
      </c>
    </row>
    <row r="28" spans="1:8" ht="126" x14ac:dyDescent="0.25">
      <c r="A28" s="2">
        <f t="shared" si="0"/>
        <v>26</v>
      </c>
      <c r="B28" s="27" t="s">
        <v>69</v>
      </c>
      <c r="C28" s="30" t="s">
        <v>70</v>
      </c>
      <c r="D28" s="35" t="s">
        <v>71</v>
      </c>
      <c r="E28" s="34" t="s">
        <v>72</v>
      </c>
      <c r="F28" s="34" t="s">
        <v>123</v>
      </c>
      <c r="G28" s="36" t="s">
        <v>12</v>
      </c>
      <c r="H28" s="32" t="s">
        <v>73</v>
      </c>
    </row>
    <row r="29" spans="1:8" ht="147" x14ac:dyDescent="0.25">
      <c r="A29" s="2">
        <f t="shared" si="0"/>
        <v>27</v>
      </c>
      <c r="B29" s="27" t="s">
        <v>74</v>
      </c>
      <c r="C29" s="30" t="s">
        <v>75</v>
      </c>
      <c r="D29" s="35" t="s">
        <v>76</v>
      </c>
      <c r="E29" s="34" t="s">
        <v>77</v>
      </c>
      <c r="F29" s="34" t="s">
        <v>123</v>
      </c>
      <c r="G29" s="36" t="s">
        <v>12</v>
      </c>
      <c r="H29" s="32" t="s">
        <v>78</v>
      </c>
    </row>
    <row r="30" spans="1:8" ht="147" x14ac:dyDescent="0.25">
      <c r="A30" s="2">
        <f t="shared" si="0"/>
        <v>28</v>
      </c>
      <c r="B30" s="27" t="s">
        <v>74</v>
      </c>
      <c r="C30" s="30" t="s">
        <v>75</v>
      </c>
      <c r="D30" s="35" t="s">
        <v>76</v>
      </c>
      <c r="E30" s="37" t="s">
        <v>77</v>
      </c>
      <c r="F30" s="34" t="s">
        <v>123</v>
      </c>
      <c r="G30" s="36" t="s">
        <v>79</v>
      </c>
      <c r="H30" s="32" t="s">
        <v>80</v>
      </c>
    </row>
    <row r="31" spans="1:8" ht="147" x14ac:dyDescent="0.25">
      <c r="A31" s="2">
        <f t="shared" si="0"/>
        <v>29</v>
      </c>
      <c r="B31" s="27" t="s">
        <v>74</v>
      </c>
      <c r="C31" s="30" t="s">
        <v>75</v>
      </c>
      <c r="D31" s="35" t="s">
        <v>76</v>
      </c>
      <c r="E31" s="37" t="s">
        <v>77</v>
      </c>
      <c r="F31" s="34" t="s">
        <v>81</v>
      </c>
      <c r="G31" s="36" t="s">
        <v>79</v>
      </c>
      <c r="H31" s="32" t="s">
        <v>82</v>
      </c>
    </row>
    <row r="32" spans="1:8" ht="147" x14ac:dyDescent="0.25">
      <c r="A32" s="2">
        <f t="shared" si="0"/>
        <v>30</v>
      </c>
      <c r="B32" s="27" t="s">
        <v>74</v>
      </c>
      <c r="C32" s="30" t="s">
        <v>75</v>
      </c>
      <c r="D32" s="35" t="s">
        <v>76</v>
      </c>
      <c r="E32" s="37" t="s">
        <v>77</v>
      </c>
      <c r="F32" s="34" t="s">
        <v>123</v>
      </c>
      <c r="G32" s="36" t="s">
        <v>79</v>
      </c>
      <c r="H32" s="32" t="s">
        <v>83</v>
      </c>
    </row>
    <row r="33" spans="1:8" ht="147" x14ac:dyDescent="0.25">
      <c r="A33" s="2">
        <f t="shared" si="0"/>
        <v>31</v>
      </c>
      <c r="B33" s="27" t="s">
        <v>74</v>
      </c>
      <c r="C33" s="30" t="s">
        <v>75</v>
      </c>
      <c r="D33" s="35" t="s">
        <v>76</v>
      </c>
      <c r="E33" s="37" t="s">
        <v>77</v>
      </c>
      <c r="F33" s="34" t="s">
        <v>123</v>
      </c>
      <c r="G33" s="36" t="s">
        <v>79</v>
      </c>
      <c r="H33" s="32" t="s">
        <v>84</v>
      </c>
    </row>
    <row r="34" spans="1:8" ht="147" x14ac:dyDescent="0.25">
      <c r="A34" s="2">
        <f t="shared" si="0"/>
        <v>32</v>
      </c>
      <c r="B34" s="27" t="s">
        <v>74</v>
      </c>
      <c r="C34" s="30" t="s">
        <v>75</v>
      </c>
      <c r="D34" s="35" t="s">
        <v>76</v>
      </c>
      <c r="E34" s="37" t="s">
        <v>77</v>
      </c>
      <c r="F34" s="34" t="s">
        <v>123</v>
      </c>
      <c r="G34" s="36" t="s">
        <v>79</v>
      </c>
      <c r="H34" s="32" t="s">
        <v>85</v>
      </c>
    </row>
    <row r="35" spans="1:8" ht="147" x14ac:dyDescent="0.25">
      <c r="A35" s="2">
        <f t="shared" si="0"/>
        <v>33</v>
      </c>
      <c r="B35" s="27" t="s">
        <v>74</v>
      </c>
      <c r="C35" s="30" t="s">
        <v>75</v>
      </c>
      <c r="D35" s="35" t="s">
        <v>76</v>
      </c>
      <c r="E35" s="37" t="s">
        <v>77</v>
      </c>
      <c r="F35" s="34" t="s">
        <v>123</v>
      </c>
      <c r="G35" s="36" t="s">
        <v>79</v>
      </c>
      <c r="H35" s="32" t="s">
        <v>86</v>
      </c>
    </row>
    <row r="36" spans="1:8" ht="147" x14ac:dyDescent="0.25">
      <c r="A36" s="2">
        <f t="shared" si="0"/>
        <v>34</v>
      </c>
      <c r="B36" s="27" t="s">
        <v>74</v>
      </c>
      <c r="C36" s="30" t="s">
        <v>75</v>
      </c>
      <c r="D36" s="35" t="s">
        <v>76</v>
      </c>
      <c r="E36" s="37" t="s">
        <v>77</v>
      </c>
      <c r="F36" s="34" t="s">
        <v>123</v>
      </c>
      <c r="G36" s="36" t="s">
        <v>49</v>
      </c>
      <c r="H36" s="32" t="s">
        <v>91</v>
      </c>
    </row>
    <row r="37" spans="1:8" ht="147" x14ac:dyDescent="0.25">
      <c r="A37" s="2">
        <f t="shared" si="0"/>
        <v>35</v>
      </c>
      <c r="B37" s="27" t="s">
        <v>74</v>
      </c>
      <c r="C37" s="30" t="s">
        <v>75</v>
      </c>
      <c r="D37" s="35" t="s">
        <v>76</v>
      </c>
      <c r="E37" s="37" t="s">
        <v>77</v>
      </c>
      <c r="F37" s="34" t="s">
        <v>123</v>
      </c>
      <c r="G37" s="36" t="s">
        <v>49</v>
      </c>
      <c r="H37" s="32" t="s">
        <v>92</v>
      </c>
    </row>
    <row r="38" spans="1:8" ht="147" x14ac:dyDescent="0.25">
      <c r="A38" s="2">
        <f t="shared" si="0"/>
        <v>36</v>
      </c>
      <c r="B38" s="27" t="s">
        <v>74</v>
      </c>
      <c r="C38" s="30" t="s">
        <v>75</v>
      </c>
      <c r="D38" s="35" t="s">
        <v>76</v>
      </c>
      <c r="E38" s="37" t="s">
        <v>77</v>
      </c>
      <c r="F38" s="34" t="s">
        <v>123</v>
      </c>
      <c r="G38" s="36" t="s">
        <v>49</v>
      </c>
      <c r="H38" s="32" t="s">
        <v>93</v>
      </c>
    </row>
    <row r="39" spans="1:8" ht="147" x14ac:dyDescent="0.25">
      <c r="A39" s="2">
        <f t="shared" si="0"/>
        <v>37</v>
      </c>
      <c r="B39" s="27" t="s">
        <v>74</v>
      </c>
      <c r="C39" s="30" t="s">
        <v>75</v>
      </c>
      <c r="D39" s="35" t="s">
        <v>76</v>
      </c>
      <c r="E39" s="37" t="s">
        <v>77</v>
      </c>
      <c r="F39" s="34" t="s">
        <v>123</v>
      </c>
      <c r="G39" s="36" t="s">
        <v>49</v>
      </c>
      <c r="H39" s="32" t="s">
        <v>94</v>
      </c>
    </row>
    <row r="40" spans="1:8" ht="147" x14ac:dyDescent="0.25">
      <c r="A40" s="2">
        <f t="shared" si="0"/>
        <v>38</v>
      </c>
      <c r="B40" s="27" t="s">
        <v>74</v>
      </c>
      <c r="C40" s="30" t="s">
        <v>75</v>
      </c>
      <c r="D40" s="35" t="s">
        <v>76</v>
      </c>
      <c r="E40" s="37" t="s">
        <v>77</v>
      </c>
      <c r="F40" s="34" t="s">
        <v>123</v>
      </c>
      <c r="G40" s="36" t="s">
        <v>66</v>
      </c>
      <c r="H40" s="32" t="s">
        <v>95</v>
      </c>
    </row>
    <row r="41" spans="1:8" ht="147" x14ac:dyDescent="0.25">
      <c r="A41" s="2">
        <f t="shared" si="0"/>
        <v>39</v>
      </c>
      <c r="B41" s="27" t="s">
        <v>74</v>
      </c>
      <c r="C41" s="30" t="s">
        <v>75</v>
      </c>
      <c r="D41" s="35" t="s">
        <v>76</v>
      </c>
      <c r="E41" s="37" t="s">
        <v>77</v>
      </c>
      <c r="F41" s="34" t="s">
        <v>123</v>
      </c>
      <c r="G41" s="36" t="s">
        <v>66</v>
      </c>
      <c r="H41" s="32" t="s">
        <v>96</v>
      </c>
    </row>
    <row r="42" spans="1:8" ht="126" x14ac:dyDescent="0.25">
      <c r="A42" s="2">
        <f t="shared" si="0"/>
        <v>40</v>
      </c>
      <c r="B42" s="27" t="s">
        <v>69</v>
      </c>
      <c r="C42" s="30" t="s">
        <v>97</v>
      </c>
      <c r="D42" s="35" t="s">
        <v>98</v>
      </c>
      <c r="E42" s="34" t="s">
        <v>99</v>
      </c>
      <c r="F42" s="34" t="s">
        <v>123</v>
      </c>
      <c r="G42" s="36" t="s">
        <v>12</v>
      </c>
      <c r="H42" s="32" t="s">
        <v>100</v>
      </c>
    </row>
    <row r="43" spans="1:8" ht="231" x14ac:dyDescent="0.25">
      <c r="A43" s="2">
        <f t="shared" si="0"/>
        <v>41</v>
      </c>
      <c r="B43" s="27" t="s">
        <v>69</v>
      </c>
      <c r="C43" s="30" t="s">
        <v>97</v>
      </c>
      <c r="D43" s="35" t="s">
        <v>98</v>
      </c>
      <c r="E43" s="34" t="s">
        <v>99</v>
      </c>
      <c r="F43" s="34" t="s">
        <v>101</v>
      </c>
      <c r="G43" s="36" t="s">
        <v>12</v>
      </c>
      <c r="H43" s="32" t="s">
        <v>102</v>
      </c>
    </row>
    <row r="44" spans="1:8" ht="231" x14ac:dyDescent="0.25">
      <c r="A44" s="2">
        <f t="shared" si="0"/>
        <v>42</v>
      </c>
      <c r="B44" s="27" t="s">
        <v>69</v>
      </c>
      <c r="C44" s="30" t="s">
        <v>97</v>
      </c>
      <c r="D44" s="35" t="s">
        <v>98</v>
      </c>
      <c r="E44" s="34" t="s">
        <v>99</v>
      </c>
      <c r="F44" s="34" t="s">
        <v>103</v>
      </c>
      <c r="G44" s="36" t="s">
        <v>12</v>
      </c>
      <c r="H44" s="32" t="s">
        <v>104</v>
      </c>
    </row>
    <row r="45" spans="1:8" ht="126" x14ac:dyDescent="0.25">
      <c r="A45" s="2">
        <f t="shared" si="0"/>
        <v>43</v>
      </c>
      <c r="B45" s="27" t="s">
        <v>69</v>
      </c>
      <c r="C45" s="30" t="s">
        <v>97</v>
      </c>
      <c r="D45" s="35" t="s">
        <v>98</v>
      </c>
      <c r="E45" s="34" t="s">
        <v>99</v>
      </c>
      <c r="F45" s="34" t="s">
        <v>123</v>
      </c>
      <c r="G45" s="36" t="s">
        <v>12</v>
      </c>
      <c r="H45" s="32" t="s">
        <v>105</v>
      </c>
    </row>
    <row r="46" spans="1:8" ht="126" x14ac:dyDescent="0.25">
      <c r="A46" s="2">
        <f t="shared" si="0"/>
        <v>44</v>
      </c>
      <c r="B46" s="27" t="s">
        <v>69</v>
      </c>
      <c r="C46" s="30" t="s">
        <v>97</v>
      </c>
      <c r="D46" s="35" t="s">
        <v>98</v>
      </c>
      <c r="E46" s="34" t="s">
        <v>99</v>
      </c>
      <c r="F46" s="34" t="s">
        <v>106</v>
      </c>
      <c r="G46" s="36" t="s">
        <v>12</v>
      </c>
      <c r="H46" s="32" t="s">
        <v>107</v>
      </c>
    </row>
    <row r="47" spans="1:8" ht="126" x14ac:dyDescent="0.25">
      <c r="A47" s="2">
        <f t="shared" si="0"/>
        <v>45</v>
      </c>
      <c r="B47" s="27" t="s">
        <v>69</v>
      </c>
      <c r="C47" s="30" t="s">
        <v>97</v>
      </c>
      <c r="D47" s="35" t="s">
        <v>98</v>
      </c>
      <c r="E47" s="34" t="s">
        <v>99</v>
      </c>
      <c r="F47" s="34" t="s">
        <v>123</v>
      </c>
      <c r="G47" s="36" t="s">
        <v>12</v>
      </c>
      <c r="H47" s="32" t="s">
        <v>108</v>
      </c>
    </row>
    <row r="48" spans="1:8" ht="126" x14ac:dyDescent="0.25">
      <c r="A48" s="2">
        <f t="shared" si="0"/>
        <v>46</v>
      </c>
      <c r="B48" s="27" t="s">
        <v>69</v>
      </c>
      <c r="C48" s="30" t="s">
        <v>97</v>
      </c>
      <c r="D48" s="35" t="s">
        <v>98</v>
      </c>
      <c r="E48" s="34" t="s">
        <v>99</v>
      </c>
      <c r="F48" s="34" t="s">
        <v>123</v>
      </c>
      <c r="G48" s="36" t="s">
        <v>12</v>
      </c>
      <c r="H48" s="32" t="s">
        <v>109</v>
      </c>
    </row>
    <row r="49" spans="1:8" ht="126" x14ac:dyDescent="0.25">
      <c r="A49" s="2">
        <f t="shared" si="0"/>
        <v>47</v>
      </c>
      <c r="B49" s="27" t="s">
        <v>69</v>
      </c>
      <c r="C49" s="30" t="s">
        <v>97</v>
      </c>
      <c r="D49" s="35" t="s">
        <v>98</v>
      </c>
      <c r="E49" s="34" t="s">
        <v>99</v>
      </c>
      <c r="F49" s="34" t="s">
        <v>123</v>
      </c>
      <c r="G49" s="36" t="s">
        <v>12</v>
      </c>
      <c r="H49" s="32" t="s">
        <v>110</v>
      </c>
    </row>
    <row r="50" spans="1:8" ht="126" x14ac:dyDescent="0.25">
      <c r="A50" s="2">
        <f t="shared" si="0"/>
        <v>48</v>
      </c>
      <c r="B50" s="27" t="s">
        <v>69</v>
      </c>
      <c r="C50" s="30" t="s">
        <v>97</v>
      </c>
      <c r="D50" s="35" t="s">
        <v>98</v>
      </c>
      <c r="E50" s="34" t="s">
        <v>99</v>
      </c>
      <c r="F50" s="34" t="s">
        <v>123</v>
      </c>
      <c r="G50" s="36" t="s">
        <v>12</v>
      </c>
      <c r="H50" s="32" t="s">
        <v>111</v>
      </c>
    </row>
    <row r="51" spans="1:8" ht="126" x14ac:dyDescent="0.25">
      <c r="A51" s="2">
        <f t="shared" si="0"/>
        <v>49</v>
      </c>
      <c r="B51" s="27" t="s">
        <v>7</v>
      </c>
      <c r="C51" s="30" t="s">
        <v>97</v>
      </c>
      <c r="D51" s="35" t="s">
        <v>98</v>
      </c>
      <c r="E51" s="34" t="s">
        <v>99</v>
      </c>
      <c r="F51" s="34" t="s">
        <v>123</v>
      </c>
      <c r="G51" s="36" t="s">
        <v>12</v>
      </c>
      <c r="H51" s="32" t="s">
        <v>112</v>
      </c>
    </row>
    <row r="52" spans="1:8" ht="84.75" thickBot="1" x14ac:dyDescent="0.3">
      <c r="A52" s="3">
        <f t="shared" si="0"/>
        <v>50</v>
      </c>
      <c r="B52" s="38" t="s">
        <v>117</v>
      </c>
      <c r="C52" s="39" t="s">
        <v>118</v>
      </c>
      <c r="D52" s="40" t="s">
        <v>119</v>
      </c>
      <c r="E52" s="40" t="s">
        <v>120</v>
      </c>
      <c r="F52" s="41" t="s">
        <v>123</v>
      </c>
      <c r="G52" s="42" t="s">
        <v>49</v>
      </c>
      <c r="H52" s="43" t="s">
        <v>121</v>
      </c>
    </row>
  </sheetData>
  <autoFilter ref="B2:H52"/>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zoomScale="60" zoomScaleNormal="60" workbookViewId="0">
      <selection sqref="A1:XFD1"/>
    </sheetView>
  </sheetViews>
  <sheetFormatPr baseColWidth="10" defaultRowHeight="15" x14ac:dyDescent="0.25"/>
  <cols>
    <col min="1" max="1" width="18.85546875" style="8" customWidth="1"/>
    <col min="2" max="2" width="21.85546875" style="8" customWidth="1"/>
    <col min="3" max="3" width="40.5703125" style="8" customWidth="1"/>
    <col min="4" max="4" width="52.85546875" style="8" customWidth="1"/>
    <col min="5" max="5" width="44.5703125" style="8" customWidth="1"/>
    <col min="6" max="6" width="31.28515625" style="9" customWidth="1"/>
    <col min="7" max="7" width="65.42578125" style="8" bestFit="1" customWidth="1"/>
  </cols>
  <sheetData>
    <row r="1" spans="1:9" ht="36.75" customHeight="1" thickBot="1" x14ac:dyDescent="0.3">
      <c r="A1" s="118" t="s">
        <v>153</v>
      </c>
      <c r="B1" s="119"/>
      <c r="C1" s="119"/>
      <c r="D1" s="119"/>
      <c r="E1" s="119"/>
      <c r="F1" s="119"/>
      <c r="G1" s="120"/>
      <c r="H1" s="6"/>
      <c r="I1" s="7"/>
    </row>
    <row r="2" spans="1:9" ht="42.75" thickBot="1" x14ac:dyDescent="0.3">
      <c r="A2" s="10" t="s">
        <v>0</v>
      </c>
      <c r="B2" s="10" t="s">
        <v>1</v>
      </c>
      <c r="C2" s="11" t="s">
        <v>2</v>
      </c>
      <c r="D2" s="12" t="s">
        <v>3</v>
      </c>
      <c r="E2" s="12" t="s">
        <v>4</v>
      </c>
      <c r="F2" s="11" t="s">
        <v>5</v>
      </c>
      <c r="G2" s="13" t="s">
        <v>127</v>
      </c>
    </row>
    <row r="3" spans="1:9" ht="189" x14ac:dyDescent="0.25">
      <c r="A3" s="17" t="s">
        <v>7</v>
      </c>
      <c r="B3" s="17" t="s">
        <v>8</v>
      </c>
      <c r="C3" s="17" t="s">
        <v>9</v>
      </c>
      <c r="D3" s="18" t="s">
        <v>10</v>
      </c>
      <c r="E3" s="19" t="s">
        <v>130</v>
      </c>
      <c r="F3" s="19" t="s">
        <v>128</v>
      </c>
      <c r="G3" s="18" t="s">
        <v>134</v>
      </c>
    </row>
    <row r="4" spans="1:9" ht="215.25" customHeight="1" x14ac:dyDescent="0.25">
      <c r="A4" s="17" t="s">
        <v>7</v>
      </c>
      <c r="B4" s="17" t="s">
        <v>8</v>
      </c>
      <c r="C4" s="17" t="s">
        <v>9</v>
      </c>
      <c r="D4" s="18" t="s">
        <v>10</v>
      </c>
      <c r="E4" s="19" t="s">
        <v>15</v>
      </c>
      <c r="F4" s="20" t="s">
        <v>129</v>
      </c>
      <c r="G4" s="21" t="s">
        <v>133</v>
      </c>
    </row>
    <row r="5" spans="1:9" ht="168" x14ac:dyDescent="0.25">
      <c r="A5" s="17" t="s">
        <v>7</v>
      </c>
      <c r="B5" s="17" t="s">
        <v>8</v>
      </c>
      <c r="C5" s="22" t="s">
        <v>9</v>
      </c>
      <c r="D5" s="23" t="s">
        <v>22</v>
      </c>
      <c r="E5" s="23" t="s">
        <v>23</v>
      </c>
      <c r="F5" s="24" t="s">
        <v>129</v>
      </c>
      <c r="G5" s="21" t="s">
        <v>134</v>
      </c>
    </row>
    <row r="6" spans="1:9" ht="126" x14ac:dyDescent="0.25">
      <c r="A6" s="17" t="s">
        <v>7</v>
      </c>
      <c r="B6" s="17" t="s">
        <v>8</v>
      </c>
      <c r="C6" s="22" t="s">
        <v>9</v>
      </c>
      <c r="D6" s="23" t="s">
        <v>22</v>
      </c>
      <c r="E6" s="23"/>
      <c r="F6" s="24" t="s">
        <v>129</v>
      </c>
      <c r="G6" s="21" t="s">
        <v>134</v>
      </c>
    </row>
    <row r="7" spans="1:9" ht="126" x14ac:dyDescent="0.25">
      <c r="A7" s="17" t="s">
        <v>7</v>
      </c>
      <c r="B7" s="17" t="s">
        <v>8</v>
      </c>
      <c r="C7" s="22" t="s">
        <v>9</v>
      </c>
      <c r="D7" s="23" t="s">
        <v>22</v>
      </c>
      <c r="E7" s="23"/>
      <c r="F7" s="24" t="s">
        <v>129</v>
      </c>
      <c r="G7" s="21" t="s">
        <v>134</v>
      </c>
    </row>
    <row r="8" spans="1:9" ht="126" x14ac:dyDescent="0.25">
      <c r="A8" s="17" t="s">
        <v>7</v>
      </c>
      <c r="B8" s="17" t="s">
        <v>8</v>
      </c>
      <c r="C8" s="22" t="s">
        <v>9</v>
      </c>
      <c r="D8" s="23" t="s">
        <v>10</v>
      </c>
      <c r="E8" s="23" t="s">
        <v>148</v>
      </c>
      <c r="F8" s="24" t="s">
        <v>129</v>
      </c>
      <c r="G8" s="21"/>
    </row>
    <row r="9" spans="1:9" ht="180.75" customHeight="1" x14ac:dyDescent="0.25">
      <c r="A9" s="17" t="s">
        <v>7</v>
      </c>
      <c r="B9" s="25" t="s">
        <v>27</v>
      </c>
      <c r="C9" s="22" t="s">
        <v>28</v>
      </c>
      <c r="D9" s="23" t="s">
        <v>29</v>
      </c>
      <c r="E9" s="23" t="s">
        <v>30</v>
      </c>
      <c r="F9" s="24" t="s">
        <v>129</v>
      </c>
      <c r="G9" s="21" t="s">
        <v>135</v>
      </c>
    </row>
    <row r="10" spans="1:9" ht="210" x14ac:dyDescent="0.25">
      <c r="A10" s="17" t="s">
        <v>7</v>
      </c>
      <c r="B10" s="25" t="s">
        <v>27</v>
      </c>
      <c r="C10" s="22" t="s">
        <v>28</v>
      </c>
      <c r="D10" s="23" t="s">
        <v>29</v>
      </c>
      <c r="E10" s="23" t="s">
        <v>32</v>
      </c>
      <c r="F10" s="24" t="s">
        <v>129</v>
      </c>
      <c r="G10" s="21" t="s">
        <v>135</v>
      </c>
    </row>
    <row r="11" spans="1:9" ht="168" x14ac:dyDescent="0.25">
      <c r="A11" s="17" t="s">
        <v>7</v>
      </c>
      <c r="B11" s="25" t="s">
        <v>27</v>
      </c>
      <c r="C11" s="22" t="s">
        <v>28</v>
      </c>
      <c r="D11" s="23" t="s">
        <v>29</v>
      </c>
      <c r="E11" s="23"/>
      <c r="F11" s="24" t="s">
        <v>129</v>
      </c>
      <c r="G11" s="21" t="s">
        <v>135</v>
      </c>
    </row>
    <row r="12" spans="1:9" ht="168" x14ac:dyDescent="0.25">
      <c r="A12" s="17" t="s">
        <v>7</v>
      </c>
      <c r="B12" s="25" t="s">
        <v>27</v>
      </c>
      <c r="C12" s="22" t="s">
        <v>28</v>
      </c>
      <c r="D12" s="23" t="s">
        <v>29</v>
      </c>
      <c r="E12" s="23"/>
      <c r="F12" s="24" t="s">
        <v>129</v>
      </c>
      <c r="G12" s="21" t="s">
        <v>135</v>
      </c>
    </row>
    <row r="13" spans="1:9" ht="168" x14ac:dyDescent="0.25">
      <c r="A13" s="17" t="s">
        <v>7</v>
      </c>
      <c r="B13" s="25" t="s">
        <v>27</v>
      </c>
      <c r="C13" s="22" t="s">
        <v>28</v>
      </c>
      <c r="D13" s="23" t="s">
        <v>29</v>
      </c>
      <c r="E13" s="23"/>
      <c r="F13" s="24" t="s">
        <v>129</v>
      </c>
      <c r="G13" s="21" t="s">
        <v>135</v>
      </c>
    </row>
    <row r="14" spans="1:9" ht="168" x14ac:dyDescent="0.25">
      <c r="A14" s="17" t="s">
        <v>7</v>
      </c>
      <c r="B14" s="25" t="s">
        <v>27</v>
      </c>
      <c r="C14" s="22" t="s">
        <v>28</v>
      </c>
      <c r="D14" s="23" t="s">
        <v>29</v>
      </c>
      <c r="E14" s="23"/>
      <c r="F14" s="24" t="s">
        <v>129</v>
      </c>
      <c r="G14" s="21" t="s">
        <v>135</v>
      </c>
    </row>
    <row r="15" spans="1:9" ht="126" x14ac:dyDescent="0.25">
      <c r="A15" s="17" t="s">
        <v>38</v>
      </c>
      <c r="B15" s="17" t="s">
        <v>39</v>
      </c>
      <c r="C15" s="22" t="s">
        <v>40</v>
      </c>
      <c r="D15" s="21" t="s">
        <v>41</v>
      </c>
      <c r="E15" s="23" t="s">
        <v>42</v>
      </c>
      <c r="F15" s="24" t="s">
        <v>141</v>
      </c>
      <c r="G15" s="21" t="s">
        <v>147</v>
      </c>
    </row>
    <row r="16" spans="1:9" ht="147" x14ac:dyDescent="0.25">
      <c r="A16" s="17" t="s">
        <v>38</v>
      </c>
      <c r="B16" s="25" t="s">
        <v>39</v>
      </c>
      <c r="C16" s="22" t="s">
        <v>40</v>
      </c>
      <c r="D16" s="21" t="s">
        <v>45</v>
      </c>
      <c r="E16" s="23" t="s">
        <v>149</v>
      </c>
      <c r="F16" s="24" t="s">
        <v>152</v>
      </c>
      <c r="G16" s="21" t="s">
        <v>151</v>
      </c>
    </row>
    <row r="17" spans="1:7" ht="168" x14ac:dyDescent="0.25">
      <c r="A17" s="17" t="s">
        <v>38</v>
      </c>
      <c r="B17" s="17" t="s">
        <v>39</v>
      </c>
      <c r="C17" s="22" t="s">
        <v>46</v>
      </c>
      <c r="D17" s="23" t="s">
        <v>41</v>
      </c>
      <c r="E17" s="23" t="s">
        <v>150</v>
      </c>
      <c r="F17" s="24" t="s">
        <v>129</v>
      </c>
      <c r="G17" s="21" t="s">
        <v>151</v>
      </c>
    </row>
    <row r="18" spans="1:7" ht="126" x14ac:dyDescent="0.25">
      <c r="A18" s="17" t="s">
        <v>38</v>
      </c>
      <c r="B18" s="25" t="s">
        <v>39</v>
      </c>
      <c r="C18" s="22" t="s">
        <v>46</v>
      </c>
      <c r="D18" s="21" t="s">
        <v>47</v>
      </c>
      <c r="E18" s="23" t="s">
        <v>48</v>
      </c>
      <c r="F18" s="24" t="s">
        <v>137</v>
      </c>
      <c r="G18" s="21" t="s">
        <v>136</v>
      </c>
    </row>
    <row r="19" spans="1:7" ht="273" x14ac:dyDescent="0.25">
      <c r="A19" s="22" t="s">
        <v>51</v>
      </c>
      <c r="B19" s="25" t="s">
        <v>52</v>
      </c>
      <c r="C19" s="23" t="s">
        <v>53</v>
      </c>
      <c r="D19" s="21" t="s">
        <v>58</v>
      </c>
      <c r="E19" s="23" t="s">
        <v>59</v>
      </c>
      <c r="F19" s="24" t="s">
        <v>141</v>
      </c>
      <c r="G19" s="21" t="s">
        <v>140</v>
      </c>
    </row>
    <row r="20" spans="1:7" ht="126" x14ac:dyDescent="0.25">
      <c r="A20" s="22" t="s">
        <v>51</v>
      </c>
      <c r="B20" s="25" t="s">
        <v>52</v>
      </c>
      <c r="C20" s="23" t="s">
        <v>53</v>
      </c>
      <c r="D20" s="21" t="s">
        <v>64</v>
      </c>
      <c r="E20" s="23" t="s">
        <v>65</v>
      </c>
      <c r="F20" s="24" t="s">
        <v>139</v>
      </c>
      <c r="G20" s="21" t="s">
        <v>138</v>
      </c>
    </row>
    <row r="21" spans="1:7" ht="168" x14ac:dyDescent="0.25">
      <c r="A21" s="17" t="s">
        <v>69</v>
      </c>
      <c r="B21" s="25" t="s">
        <v>70</v>
      </c>
      <c r="C21" s="22" t="s">
        <v>71</v>
      </c>
      <c r="D21" s="23" t="s">
        <v>72</v>
      </c>
      <c r="E21" s="23"/>
      <c r="F21" s="24" t="s">
        <v>129</v>
      </c>
      <c r="G21" s="21" t="s">
        <v>135</v>
      </c>
    </row>
    <row r="22" spans="1:7" ht="126" x14ac:dyDescent="0.25">
      <c r="A22" s="17" t="s">
        <v>74</v>
      </c>
      <c r="B22" s="25" t="s">
        <v>75</v>
      </c>
      <c r="C22" s="22" t="s">
        <v>76</v>
      </c>
      <c r="D22" s="23" t="s">
        <v>77</v>
      </c>
      <c r="E22" s="23"/>
      <c r="F22" s="24" t="s">
        <v>129</v>
      </c>
      <c r="G22" s="21"/>
    </row>
    <row r="23" spans="1:7" ht="126" x14ac:dyDescent="0.25">
      <c r="A23" s="17" t="s">
        <v>74</v>
      </c>
      <c r="B23" s="25" t="s">
        <v>75</v>
      </c>
      <c r="C23" s="22" t="s">
        <v>76</v>
      </c>
      <c r="D23" s="21" t="s">
        <v>77</v>
      </c>
      <c r="E23" s="23"/>
      <c r="F23" s="24" t="s">
        <v>79</v>
      </c>
      <c r="G23" s="21"/>
    </row>
    <row r="24" spans="1:7" ht="126" x14ac:dyDescent="0.25">
      <c r="A24" s="17" t="s">
        <v>74</v>
      </c>
      <c r="B24" s="25" t="s">
        <v>75</v>
      </c>
      <c r="C24" s="22" t="s">
        <v>76</v>
      </c>
      <c r="D24" s="21" t="s">
        <v>77</v>
      </c>
      <c r="E24" s="23" t="s">
        <v>81</v>
      </c>
      <c r="F24" s="24" t="s">
        <v>143</v>
      </c>
      <c r="G24" s="21" t="s">
        <v>142</v>
      </c>
    </row>
    <row r="25" spans="1:7" ht="126" x14ac:dyDescent="0.25">
      <c r="A25" s="17" t="s">
        <v>74</v>
      </c>
      <c r="B25" s="25" t="s">
        <v>75</v>
      </c>
      <c r="C25" s="22" t="s">
        <v>76</v>
      </c>
      <c r="D25" s="21" t="s">
        <v>77</v>
      </c>
      <c r="E25" s="23"/>
      <c r="F25" s="24" t="s">
        <v>79</v>
      </c>
      <c r="G25" s="21"/>
    </row>
    <row r="26" spans="1:7" ht="126" x14ac:dyDescent="0.25">
      <c r="A26" s="17" t="s">
        <v>74</v>
      </c>
      <c r="B26" s="25" t="s">
        <v>75</v>
      </c>
      <c r="C26" s="22" t="s">
        <v>76</v>
      </c>
      <c r="D26" s="21" t="s">
        <v>77</v>
      </c>
      <c r="E26" s="23"/>
      <c r="F26" s="24" t="s">
        <v>79</v>
      </c>
      <c r="G26" s="21"/>
    </row>
    <row r="27" spans="1:7" ht="126" x14ac:dyDescent="0.25">
      <c r="A27" s="17" t="s">
        <v>74</v>
      </c>
      <c r="B27" s="25" t="s">
        <v>75</v>
      </c>
      <c r="C27" s="22" t="s">
        <v>76</v>
      </c>
      <c r="D27" s="21" t="s">
        <v>77</v>
      </c>
      <c r="E27" s="23"/>
      <c r="F27" s="24" t="s">
        <v>79</v>
      </c>
      <c r="G27" s="21"/>
    </row>
    <row r="28" spans="1:7" ht="126" x14ac:dyDescent="0.25">
      <c r="A28" s="17" t="s">
        <v>74</v>
      </c>
      <c r="B28" s="25" t="s">
        <v>75</v>
      </c>
      <c r="C28" s="22" t="s">
        <v>76</v>
      </c>
      <c r="D28" s="21" t="s">
        <v>77</v>
      </c>
      <c r="E28" s="23"/>
      <c r="F28" s="24" t="s">
        <v>79</v>
      </c>
      <c r="G28" s="21"/>
    </row>
    <row r="29" spans="1:7" ht="126" x14ac:dyDescent="0.25">
      <c r="A29" s="17" t="s">
        <v>74</v>
      </c>
      <c r="B29" s="25" t="s">
        <v>75</v>
      </c>
      <c r="C29" s="22" t="s">
        <v>76</v>
      </c>
      <c r="D29" s="21" t="s">
        <v>77</v>
      </c>
      <c r="E29" s="23" t="s">
        <v>87</v>
      </c>
      <c r="F29" s="24" t="s">
        <v>143</v>
      </c>
      <c r="G29" s="21" t="s">
        <v>142</v>
      </c>
    </row>
    <row r="30" spans="1:7" ht="147" x14ac:dyDescent="0.25">
      <c r="A30" s="17" t="s">
        <v>74</v>
      </c>
      <c r="B30" s="25" t="s">
        <v>75</v>
      </c>
      <c r="C30" s="22" t="s">
        <v>76</v>
      </c>
      <c r="D30" s="21" t="s">
        <v>77</v>
      </c>
      <c r="E30" s="23" t="s">
        <v>88</v>
      </c>
      <c r="F30" s="24" t="s">
        <v>79</v>
      </c>
      <c r="G30" s="21"/>
    </row>
    <row r="31" spans="1:7" ht="126" x14ac:dyDescent="0.25">
      <c r="A31" s="17" t="s">
        <v>74</v>
      </c>
      <c r="B31" s="25" t="s">
        <v>75</v>
      </c>
      <c r="C31" s="22" t="s">
        <v>76</v>
      </c>
      <c r="D31" s="21" t="s">
        <v>77</v>
      </c>
      <c r="E31" s="23" t="s">
        <v>89</v>
      </c>
      <c r="F31" s="24" t="s">
        <v>79</v>
      </c>
      <c r="G31" s="21"/>
    </row>
    <row r="32" spans="1:7" ht="126" x14ac:dyDescent="0.25">
      <c r="A32" s="17" t="s">
        <v>74</v>
      </c>
      <c r="B32" s="25" t="s">
        <v>75</v>
      </c>
      <c r="C32" s="22" t="s">
        <v>76</v>
      </c>
      <c r="D32" s="21" t="s">
        <v>77</v>
      </c>
      <c r="E32" s="23" t="s">
        <v>90</v>
      </c>
      <c r="F32" s="24" t="s">
        <v>143</v>
      </c>
      <c r="G32" s="21" t="s">
        <v>142</v>
      </c>
    </row>
    <row r="33" spans="1:7" ht="126" x14ac:dyDescent="0.25">
      <c r="A33" s="17" t="s">
        <v>74</v>
      </c>
      <c r="B33" s="25" t="s">
        <v>75</v>
      </c>
      <c r="C33" s="22" t="s">
        <v>76</v>
      </c>
      <c r="D33" s="21" t="s">
        <v>77</v>
      </c>
      <c r="E33" s="23"/>
      <c r="F33" s="24" t="s">
        <v>49</v>
      </c>
      <c r="G33" s="21"/>
    </row>
    <row r="34" spans="1:7" ht="126" x14ac:dyDescent="0.25">
      <c r="A34" s="17" t="s">
        <v>74</v>
      </c>
      <c r="B34" s="25" t="s">
        <v>75</v>
      </c>
      <c r="C34" s="22" t="s">
        <v>76</v>
      </c>
      <c r="D34" s="21" t="s">
        <v>77</v>
      </c>
      <c r="E34" s="23"/>
      <c r="F34" s="24" t="s">
        <v>49</v>
      </c>
      <c r="G34" s="21"/>
    </row>
    <row r="35" spans="1:7" ht="126" x14ac:dyDescent="0.25">
      <c r="A35" s="17" t="s">
        <v>74</v>
      </c>
      <c r="B35" s="25" t="s">
        <v>75</v>
      </c>
      <c r="C35" s="22" t="s">
        <v>76</v>
      </c>
      <c r="D35" s="21" t="s">
        <v>77</v>
      </c>
      <c r="E35" s="23"/>
      <c r="F35" s="24" t="s">
        <v>49</v>
      </c>
      <c r="G35" s="21"/>
    </row>
    <row r="36" spans="1:7" ht="126" x14ac:dyDescent="0.25">
      <c r="A36" s="17" t="s">
        <v>74</v>
      </c>
      <c r="B36" s="25" t="s">
        <v>75</v>
      </c>
      <c r="C36" s="22" t="s">
        <v>76</v>
      </c>
      <c r="D36" s="21" t="s">
        <v>77</v>
      </c>
      <c r="E36" s="23"/>
      <c r="F36" s="24" t="s">
        <v>49</v>
      </c>
      <c r="G36" s="21"/>
    </row>
    <row r="37" spans="1:7" ht="126" x14ac:dyDescent="0.25">
      <c r="A37" s="17" t="s">
        <v>74</v>
      </c>
      <c r="B37" s="25" t="s">
        <v>75</v>
      </c>
      <c r="C37" s="22" t="s">
        <v>76</v>
      </c>
      <c r="D37" s="21" t="s">
        <v>77</v>
      </c>
      <c r="E37" s="23"/>
      <c r="F37" s="24" t="s">
        <v>66</v>
      </c>
      <c r="G37" s="21"/>
    </row>
    <row r="38" spans="1:7" ht="126" x14ac:dyDescent="0.25">
      <c r="A38" s="17" t="s">
        <v>74</v>
      </c>
      <c r="B38" s="25" t="s">
        <v>75</v>
      </c>
      <c r="C38" s="22" t="s">
        <v>76</v>
      </c>
      <c r="D38" s="21" t="s">
        <v>77</v>
      </c>
      <c r="E38" s="23"/>
      <c r="F38" s="24" t="s">
        <v>66</v>
      </c>
      <c r="G38" s="21"/>
    </row>
    <row r="39" spans="1:7" ht="126" x14ac:dyDescent="0.25">
      <c r="A39" s="17" t="s">
        <v>69</v>
      </c>
      <c r="B39" s="25" t="s">
        <v>97</v>
      </c>
      <c r="C39" s="22" t="s">
        <v>98</v>
      </c>
      <c r="D39" s="23" t="s">
        <v>99</v>
      </c>
      <c r="E39" s="23"/>
      <c r="F39" s="24" t="s">
        <v>12</v>
      </c>
      <c r="G39" s="21"/>
    </row>
    <row r="40" spans="1:7" ht="231" x14ac:dyDescent="0.25">
      <c r="A40" s="17" t="s">
        <v>69</v>
      </c>
      <c r="B40" s="25" t="s">
        <v>97</v>
      </c>
      <c r="C40" s="22" t="s">
        <v>98</v>
      </c>
      <c r="D40" s="23" t="s">
        <v>99</v>
      </c>
      <c r="E40" s="23" t="s">
        <v>101</v>
      </c>
      <c r="F40" s="24" t="s">
        <v>129</v>
      </c>
      <c r="G40" s="21" t="s">
        <v>144</v>
      </c>
    </row>
    <row r="41" spans="1:7" ht="231" x14ac:dyDescent="0.25">
      <c r="A41" s="17" t="s">
        <v>69</v>
      </c>
      <c r="B41" s="25" t="s">
        <v>97</v>
      </c>
      <c r="C41" s="22" t="s">
        <v>98</v>
      </c>
      <c r="D41" s="23" t="s">
        <v>99</v>
      </c>
      <c r="E41" s="23" t="s">
        <v>103</v>
      </c>
      <c r="F41" s="24" t="s">
        <v>129</v>
      </c>
      <c r="G41" s="21" t="s">
        <v>144</v>
      </c>
    </row>
    <row r="42" spans="1:7" ht="126" x14ac:dyDescent="0.25">
      <c r="A42" s="17" t="s">
        <v>69</v>
      </c>
      <c r="B42" s="25" t="s">
        <v>97</v>
      </c>
      <c r="C42" s="22" t="s">
        <v>98</v>
      </c>
      <c r="D42" s="23" t="s">
        <v>99</v>
      </c>
      <c r="E42" s="23"/>
      <c r="F42" s="24" t="s">
        <v>12</v>
      </c>
      <c r="G42" s="21"/>
    </row>
    <row r="43" spans="1:7" ht="168" x14ac:dyDescent="0.25">
      <c r="A43" s="17" t="s">
        <v>69</v>
      </c>
      <c r="B43" s="25" t="s">
        <v>97</v>
      </c>
      <c r="C43" s="22" t="s">
        <v>98</v>
      </c>
      <c r="D43" s="23" t="s">
        <v>99</v>
      </c>
      <c r="E43" s="23" t="s">
        <v>106</v>
      </c>
      <c r="F43" s="24" t="s">
        <v>132</v>
      </c>
      <c r="G43" s="21" t="s">
        <v>131</v>
      </c>
    </row>
    <row r="44" spans="1:7" ht="126" x14ac:dyDescent="0.25">
      <c r="A44" s="17" t="s">
        <v>69</v>
      </c>
      <c r="B44" s="25" t="s">
        <v>97</v>
      </c>
      <c r="C44" s="22" t="s">
        <v>98</v>
      </c>
      <c r="D44" s="23" t="s">
        <v>99</v>
      </c>
      <c r="E44" s="23"/>
      <c r="F44" s="24" t="s">
        <v>12</v>
      </c>
      <c r="G44" s="21"/>
    </row>
    <row r="45" spans="1:7" ht="126" x14ac:dyDescent="0.25">
      <c r="A45" s="17" t="s">
        <v>69</v>
      </c>
      <c r="B45" s="25" t="s">
        <v>97</v>
      </c>
      <c r="C45" s="22" t="s">
        <v>98</v>
      </c>
      <c r="D45" s="23" t="s">
        <v>99</v>
      </c>
      <c r="E45" s="23"/>
      <c r="F45" s="24" t="s">
        <v>12</v>
      </c>
      <c r="G45" s="21"/>
    </row>
    <row r="46" spans="1:7" ht="126" x14ac:dyDescent="0.25">
      <c r="A46" s="17" t="s">
        <v>69</v>
      </c>
      <c r="B46" s="25" t="s">
        <v>97</v>
      </c>
      <c r="C46" s="22" t="s">
        <v>98</v>
      </c>
      <c r="D46" s="23" t="s">
        <v>99</v>
      </c>
      <c r="E46" s="23"/>
      <c r="F46" s="24" t="s">
        <v>12</v>
      </c>
      <c r="G46" s="21"/>
    </row>
    <row r="47" spans="1:7" ht="126" x14ac:dyDescent="0.25">
      <c r="A47" s="17" t="s">
        <v>69</v>
      </c>
      <c r="B47" s="25" t="s">
        <v>97</v>
      </c>
      <c r="C47" s="22" t="s">
        <v>98</v>
      </c>
      <c r="D47" s="23" t="s">
        <v>99</v>
      </c>
      <c r="E47" s="23"/>
      <c r="F47" s="24" t="s">
        <v>12</v>
      </c>
      <c r="G47" s="21"/>
    </row>
    <row r="48" spans="1:7" ht="126" x14ac:dyDescent="0.25">
      <c r="A48" s="17" t="s">
        <v>7</v>
      </c>
      <c r="B48" s="25" t="s">
        <v>97</v>
      </c>
      <c r="C48" s="22" t="s">
        <v>98</v>
      </c>
      <c r="D48" s="23" t="s">
        <v>99</v>
      </c>
      <c r="E48" s="23"/>
      <c r="F48" s="24" t="s">
        <v>12</v>
      </c>
      <c r="G48" s="21"/>
    </row>
    <row r="49" spans="1:7" ht="147" x14ac:dyDescent="0.25">
      <c r="A49" s="22" t="s">
        <v>51</v>
      </c>
      <c r="B49" s="26" t="s">
        <v>113</v>
      </c>
      <c r="C49" s="22" t="s">
        <v>114</v>
      </c>
      <c r="D49" s="21" t="s">
        <v>115</v>
      </c>
      <c r="E49" s="23" t="s">
        <v>154</v>
      </c>
      <c r="F49" s="24" t="s">
        <v>116</v>
      </c>
      <c r="G49" s="21"/>
    </row>
    <row r="50" spans="1:7" ht="84" x14ac:dyDescent="0.25">
      <c r="A50" s="17" t="s">
        <v>117</v>
      </c>
      <c r="B50" s="25" t="s">
        <v>118</v>
      </c>
      <c r="C50" s="21" t="s">
        <v>119</v>
      </c>
      <c r="D50" s="21" t="s">
        <v>120</v>
      </c>
      <c r="E50" s="23"/>
      <c r="F50" s="24" t="s">
        <v>49</v>
      </c>
      <c r="G50" s="21"/>
    </row>
    <row r="51" spans="1:7" ht="210" x14ac:dyDescent="0.25">
      <c r="A51" s="17" t="s">
        <v>117</v>
      </c>
      <c r="B51" s="25" t="s">
        <v>118</v>
      </c>
      <c r="C51" s="22" t="s">
        <v>119</v>
      </c>
      <c r="D51" s="21" t="s">
        <v>122</v>
      </c>
      <c r="E51" s="23" t="s">
        <v>155</v>
      </c>
      <c r="F51" s="24" t="s">
        <v>146</v>
      </c>
      <c r="G51" s="21" t="s">
        <v>145</v>
      </c>
    </row>
  </sheetData>
  <autoFilter ref="A2:G51"/>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zoomScale="80" zoomScaleNormal="80" workbookViewId="0">
      <selection activeCell="J9" sqref="J9"/>
    </sheetView>
  </sheetViews>
  <sheetFormatPr baseColWidth="10" defaultRowHeight="15" x14ac:dyDescent="0.25"/>
  <cols>
    <col min="1" max="1" width="43.5703125" bestFit="1" customWidth="1"/>
    <col min="2" max="2" width="5" style="45" customWidth="1"/>
    <col min="3" max="3" width="86.140625" style="44" customWidth="1"/>
    <col min="4" max="4" width="4.85546875" style="45" customWidth="1"/>
    <col min="5" max="5" width="86.5703125" customWidth="1"/>
  </cols>
  <sheetData>
    <row r="1" spans="1:5" ht="36.75" customHeight="1" thickBot="1" x14ac:dyDescent="0.3">
      <c r="A1" s="118" t="s">
        <v>153</v>
      </c>
      <c r="B1" s="119"/>
      <c r="C1" s="119"/>
      <c r="D1" s="119"/>
      <c r="E1" s="120"/>
    </row>
    <row r="2" spans="1:5" ht="15.75" thickBot="1" x14ac:dyDescent="0.3">
      <c r="A2" s="54" t="s">
        <v>157</v>
      </c>
      <c r="B2" s="55" t="s">
        <v>238</v>
      </c>
      <c r="C2" s="56" t="s">
        <v>158</v>
      </c>
      <c r="D2" s="56" t="s">
        <v>239</v>
      </c>
      <c r="E2" s="57" t="s">
        <v>159</v>
      </c>
    </row>
    <row r="3" spans="1:5" ht="45" x14ac:dyDescent="0.25">
      <c r="A3" s="58" t="s">
        <v>156</v>
      </c>
      <c r="B3" s="59">
        <v>1</v>
      </c>
      <c r="C3" s="60" t="s">
        <v>160</v>
      </c>
      <c r="D3" s="61">
        <v>1</v>
      </c>
      <c r="E3" s="62" t="s">
        <v>166</v>
      </c>
    </row>
    <row r="4" spans="1:5" ht="79.5" customHeight="1" x14ac:dyDescent="0.25">
      <c r="A4" s="63"/>
      <c r="B4" s="64"/>
      <c r="C4" s="65"/>
      <c r="D4" s="66">
        <f>D3+1</f>
        <v>2</v>
      </c>
      <c r="E4" s="67" t="s">
        <v>164</v>
      </c>
    </row>
    <row r="5" spans="1:5" ht="31.5" customHeight="1" x14ac:dyDescent="0.25">
      <c r="A5" s="63"/>
      <c r="B5" s="64"/>
      <c r="C5" s="65"/>
      <c r="D5" s="66">
        <f t="shared" ref="D5:D68" si="0">D4+1</f>
        <v>3</v>
      </c>
      <c r="E5" s="67" t="s">
        <v>162</v>
      </c>
    </row>
    <row r="6" spans="1:5" ht="91.5" customHeight="1" x14ac:dyDescent="0.25">
      <c r="A6" s="63"/>
      <c r="B6" s="64"/>
      <c r="C6" s="65"/>
      <c r="D6" s="66">
        <f t="shared" si="0"/>
        <v>4</v>
      </c>
      <c r="E6" s="67" t="s">
        <v>163</v>
      </c>
    </row>
    <row r="7" spans="1:5" ht="62.25" customHeight="1" x14ac:dyDescent="0.25">
      <c r="A7" s="63"/>
      <c r="B7" s="64"/>
      <c r="C7" s="65"/>
      <c r="D7" s="66">
        <f t="shared" si="0"/>
        <v>5</v>
      </c>
      <c r="E7" s="67" t="s">
        <v>165</v>
      </c>
    </row>
    <row r="8" spans="1:5" ht="45.75" customHeight="1" thickBot="1" x14ac:dyDescent="0.3">
      <c r="A8" s="63"/>
      <c r="B8" s="68"/>
      <c r="C8" s="69"/>
      <c r="D8" s="70">
        <f t="shared" si="0"/>
        <v>6</v>
      </c>
      <c r="E8" s="71" t="s">
        <v>161</v>
      </c>
    </row>
    <row r="9" spans="1:5" ht="128.25" customHeight="1" x14ac:dyDescent="0.25">
      <c r="A9" s="63"/>
      <c r="B9" s="72">
        <v>2</v>
      </c>
      <c r="C9" s="73" t="s">
        <v>167</v>
      </c>
      <c r="D9" s="74">
        <f t="shared" si="0"/>
        <v>7</v>
      </c>
      <c r="E9" s="75" t="s">
        <v>168</v>
      </c>
    </row>
    <row r="10" spans="1:5" ht="90.75" customHeight="1" x14ac:dyDescent="0.25">
      <c r="A10" s="63"/>
      <c r="B10" s="64"/>
      <c r="C10" s="65"/>
      <c r="D10" s="66">
        <f t="shared" si="0"/>
        <v>8</v>
      </c>
      <c r="E10" s="67" t="s">
        <v>169</v>
      </c>
    </row>
    <row r="11" spans="1:5" ht="45" x14ac:dyDescent="0.25">
      <c r="A11" s="63"/>
      <c r="B11" s="64"/>
      <c r="C11" s="65"/>
      <c r="D11" s="66">
        <f t="shared" si="0"/>
        <v>9</v>
      </c>
      <c r="E11" s="67" t="s">
        <v>170</v>
      </c>
    </row>
    <row r="12" spans="1:5" ht="76.5" customHeight="1" x14ac:dyDescent="0.25">
      <c r="A12" s="63"/>
      <c r="B12" s="64"/>
      <c r="C12" s="65"/>
      <c r="D12" s="66">
        <f t="shared" si="0"/>
        <v>10</v>
      </c>
      <c r="E12" s="67" t="s">
        <v>171</v>
      </c>
    </row>
    <row r="13" spans="1:5" ht="30.75" thickBot="1" x14ac:dyDescent="0.3">
      <c r="A13" s="63"/>
      <c r="B13" s="68"/>
      <c r="C13" s="69"/>
      <c r="D13" s="70">
        <f t="shared" si="0"/>
        <v>11</v>
      </c>
      <c r="E13" s="71" t="s">
        <v>172</v>
      </c>
    </row>
    <row r="14" spans="1:5" ht="60" x14ac:dyDescent="0.25">
      <c r="A14" s="63"/>
      <c r="B14" s="72">
        <v>3</v>
      </c>
      <c r="C14" s="73" t="s">
        <v>173</v>
      </c>
      <c r="D14" s="74">
        <f t="shared" si="0"/>
        <v>12</v>
      </c>
      <c r="E14" s="76" t="s">
        <v>174</v>
      </c>
    </row>
    <row r="15" spans="1:5" ht="60.75" customHeight="1" x14ac:dyDescent="0.25">
      <c r="A15" s="63"/>
      <c r="B15" s="64"/>
      <c r="C15" s="65"/>
      <c r="D15" s="66">
        <f t="shared" si="0"/>
        <v>13</v>
      </c>
      <c r="E15" s="67" t="s">
        <v>175</v>
      </c>
    </row>
    <row r="16" spans="1:5" ht="75" x14ac:dyDescent="0.25">
      <c r="A16" s="63"/>
      <c r="B16" s="64"/>
      <c r="C16" s="65"/>
      <c r="D16" s="66">
        <f t="shared" si="0"/>
        <v>14</v>
      </c>
      <c r="E16" s="67" t="s">
        <v>176</v>
      </c>
    </row>
    <row r="17" spans="1:5" ht="78" customHeight="1" x14ac:dyDescent="0.25">
      <c r="A17" s="63"/>
      <c r="B17" s="64"/>
      <c r="C17" s="65"/>
      <c r="D17" s="66">
        <f t="shared" si="0"/>
        <v>15</v>
      </c>
      <c r="E17" s="67" t="s">
        <v>177</v>
      </c>
    </row>
    <row r="18" spans="1:5" ht="60.75" thickBot="1" x14ac:dyDescent="0.3">
      <c r="A18" s="63"/>
      <c r="B18" s="68"/>
      <c r="C18" s="69"/>
      <c r="D18" s="70">
        <f t="shared" si="0"/>
        <v>16</v>
      </c>
      <c r="E18" s="71" t="s">
        <v>178</v>
      </c>
    </row>
    <row r="19" spans="1:5" ht="30" customHeight="1" x14ac:dyDescent="0.25">
      <c r="A19" s="63"/>
      <c r="B19" s="72">
        <v>4</v>
      </c>
      <c r="C19" s="73" t="s">
        <v>147</v>
      </c>
      <c r="D19" s="74">
        <f t="shared" si="0"/>
        <v>17</v>
      </c>
      <c r="E19" s="76" t="s">
        <v>179</v>
      </c>
    </row>
    <row r="20" spans="1:5" ht="28.5" customHeight="1" x14ac:dyDescent="0.25">
      <c r="A20" s="63"/>
      <c r="B20" s="64"/>
      <c r="C20" s="65"/>
      <c r="D20" s="66">
        <f t="shared" si="0"/>
        <v>18</v>
      </c>
      <c r="E20" s="67" t="s">
        <v>180</v>
      </c>
    </row>
    <row r="21" spans="1:5" ht="30" x14ac:dyDescent="0.25">
      <c r="A21" s="63"/>
      <c r="B21" s="64"/>
      <c r="C21" s="65"/>
      <c r="D21" s="66">
        <f t="shared" si="0"/>
        <v>19</v>
      </c>
      <c r="E21" s="67" t="s">
        <v>181</v>
      </c>
    </row>
    <row r="22" spans="1:5" ht="30" x14ac:dyDescent="0.25">
      <c r="A22" s="63"/>
      <c r="B22" s="64"/>
      <c r="C22" s="65"/>
      <c r="D22" s="66">
        <f t="shared" si="0"/>
        <v>20</v>
      </c>
      <c r="E22" s="67" t="s">
        <v>182</v>
      </c>
    </row>
    <row r="23" spans="1:5" ht="30" x14ac:dyDescent="0.25">
      <c r="A23" s="63"/>
      <c r="B23" s="64"/>
      <c r="C23" s="65"/>
      <c r="D23" s="66">
        <f t="shared" si="0"/>
        <v>21</v>
      </c>
      <c r="E23" s="67" t="s">
        <v>183</v>
      </c>
    </row>
    <row r="24" spans="1:5" ht="45.75" thickBot="1" x14ac:dyDescent="0.3">
      <c r="A24" s="63"/>
      <c r="B24" s="68"/>
      <c r="C24" s="69"/>
      <c r="D24" s="70">
        <f t="shared" si="0"/>
        <v>22</v>
      </c>
      <c r="E24" s="71" t="s">
        <v>184</v>
      </c>
    </row>
    <row r="25" spans="1:5" ht="33.75" customHeight="1" x14ac:dyDescent="0.25">
      <c r="A25" s="63"/>
      <c r="B25" s="72">
        <v>5</v>
      </c>
      <c r="C25" s="73" t="s">
        <v>185</v>
      </c>
      <c r="D25" s="74">
        <f t="shared" si="0"/>
        <v>23</v>
      </c>
      <c r="E25" s="76" t="s">
        <v>186</v>
      </c>
    </row>
    <row r="26" spans="1:5" ht="30" x14ac:dyDescent="0.25">
      <c r="A26" s="63"/>
      <c r="B26" s="64"/>
      <c r="C26" s="65"/>
      <c r="D26" s="66">
        <f t="shared" si="0"/>
        <v>24</v>
      </c>
      <c r="E26" s="67" t="s">
        <v>187</v>
      </c>
    </row>
    <row r="27" spans="1:5" ht="31.5" customHeight="1" x14ac:dyDescent="0.25">
      <c r="A27" s="63"/>
      <c r="B27" s="64"/>
      <c r="C27" s="65"/>
      <c r="D27" s="66">
        <f t="shared" si="0"/>
        <v>25</v>
      </c>
      <c r="E27" s="67" t="s">
        <v>188</v>
      </c>
    </row>
    <row r="28" spans="1:5" ht="45.75" thickBot="1" x14ac:dyDescent="0.3">
      <c r="A28" s="63"/>
      <c r="B28" s="68"/>
      <c r="C28" s="69"/>
      <c r="D28" s="70">
        <f t="shared" si="0"/>
        <v>26</v>
      </c>
      <c r="E28" s="71" t="s">
        <v>189</v>
      </c>
    </row>
    <row r="29" spans="1:5" ht="45" x14ac:dyDescent="0.25">
      <c r="A29" s="63"/>
      <c r="B29" s="72">
        <v>6</v>
      </c>
      <c r="C29" s="73" t="s">
        <v>190</v>
      </c>
      <c r="D29" s="74">
        <f t="shared" si="0"/>
        <v>27</v>
      </c>
      <c r="E29" s="76" t="s">
        <v>191</v>
      </c>
    </row>
    <row r="30" spans="1:5" ht="75.75" customHeight="1" x14ac:dyDescent="0.25">
      <c r="A30" s="63"/>
      <c r="B30" s="64"/>
      <c r="C30" s="65"/>
      <c r="D30" s="66">
        <f t="shared" si="0"/>
        <v>28</v>
      </c>
      <c r="E30" s="67" t="s">
        <v>192</v>
      </c>
    </row>
    <row r="31" spans="1:5" ht="52.5" customHeight="1" x14ac:dyDescent="0.25">
      <c r="A31" s="63"/>
      <c r="B31" s="64"/>
      <c r="C31" s="65"/>
      <c r="D31" s="66">
        <f t="shared" si="0"/>
        <v>29</v>
      </c>
      <c r="E31" s="67" t="s">
        <v>193</v>
      </c>
    </row>
    <row r="32" spans="1:5" ht="45.75" customHeight="1" x14ac:dyDescent="0.25">
      <c r="A32" s="63"/>
      <c r="B32" s="64"/>
      <c r="C32" s="65"/>
      <c r="D32" s="66">
        <f t="shared" si="0"/>
        <v>30</v>
      </c>
      <c r="E32" s="67" t="s">
        <v>194</v>
      </c>
    </row>
    <row r="33" spans="1:5" ht="90.75" thickBot="1" x14ac:dyDescent="0.3">
      <c r="A33" s="63"/>
      <c r="B33" s="68"/>
      <c r="C33" s="69"/>
      <c r="D33" s="70">
        <f t="shared" si="0"/>
        <v>31</v>
      </c>
      <c r="E33" s="71" t="s">
        <v>195</v>
      </c>
    </row>
    <row r="34" spans="1:5" ht="60.75" customHeight="1" x14ac:dyDescent="0.25">
      <c r="A34" s="63"/>
      <c r="B34" s="59">
        <v>7</v>
      </c>
      <c r="C34" s="77" t="s">
        <v>196</v>
      </c>
      <c r="D34" s="78">
        <f t="shared" si="0"/>
        <v>32</v>
      </c>
      <c r="E34" s="62" t="s">
        <v>197</v>
      </c>
    </row>
    <row r="35" spans="1:5" ht="90" x14ac:dyDescent="0.25">
      <c r="A35" s="63"/>
      <c r="B35" s="64"/>
      <c r="C35" s="65"/>
      <c r="D35" s="66">
        <f t="shared" si="0"/>
        <v>33</v>
      </c>
      <c r="E35" s="67" t="s">
        <v>198</v>
      </c>
    </row>
    <row r="36" spans="1:5" ht="60" x14ac:dyDescent="0.25">
      <c r="A36" s="63"/>
      <c r="B36" s="64"/>
      <c r="C36" s="65"/>
      <c r="D36" s="66">
        <f t="shared" si="0"/>
        <v>34</v>
      </c>
      <c r="E36" s="67" t="s">
        <v>199</v>
      </c>
    </row>
    <row r="37" spans="1:5" ht="30.75" thickBot="1" x14ac:dyDescent="0.3">
      <c r="A37" s="63"/>
      <c r="B37" s="79"/>
      <c r="C37" s="80"/>
      <c r="D37" s="81">
        <f t="shared" si="0"/>
        <v>35</v>
      </c>
      <c r="E37" s="82" t="s">
        <v>200</v>
      </c>
    </row>
    <row r="38" spans="1:5" ht="75.75" customHeight="1" x14ac:dyDescent="0.25">
      <c r="A38" s="63"/>
      <c r="B38" s="72">
        <v>8</v>
      </c>
      <c r="C38" s="73" t="s">
        <v>201</v>
      </c>
      <c r="D38" s="74">
        <f t="shared" si="0"/>
        <v>36</v>
      </c>
      <c r="E38" s="76" t="s">
        <v>202</v>
      </c>
    </row>
    <row r="39" spans="1:5" ht="78" customHeight="1" x14ac:dyDescent="0.25">
      <c r="A39" s="63"/>
      <c r="B39" s="64"/>
      <c r="C39" s="65"/>
      <c r="D39" s="66">
        <f t="shared" si="0"/>
        <v>37</v>
      </c>
      <c r="E39" s="67" t="s">
        <v>203</v>
      </c>
    </row>
    <row r="40" spans="1:5" ht="45" x14ac:dyDescent="0.25">
      <c r="A40" s="63"/>
      <c r="B40" s="64"/>
      <c r="C40" s="65"/>
      <c r="D40" s="66">
        <f t="shared" si="0"/>
        <v>38</v>
      </c>
      <c r="E40" s="67" t="s">
        <v>204</v>
      </c>
    </row>
    <row r="41" spans="1:5" ht="30" customHeight="1" x14ac:dyDescent="0.25">
      <c r="A41" s="63"/>
      <c r="B41" s="64"/>
      <c r="C41" s="65"/>
      <c r="D41" s="66">
        <f t="shared" si="0"/>
        <v>39</v>
      </c>
      <c r="E41" s="67" t="s">
        <v>205</v>
      </c>
    </row>
    <row r="42" spans="1:5" ht="94.5" customHeight="1" x14ac:dyDescent="0.25">
      <c r="A42" s="63"/>
      <c r="B42" s="64"/>
      <c r="C42" s="65"/>
      <c r="D42" s="66">
        <f t="shared" si="0"/>
        <v>40</v>
      </c>
      <c r="E42" s="67" t="s">
        <v>206</v>
      </c>
    </row>
    <row r="43" spans="1:5" ht="45" x14ac:dyDescent="0.25">
      <c r="A43" s="63"/>
      <c r="B43" s="64"/>
      <c r="C43" s="65"/>
      <c r="D43" s="66">
        <f t="shared" si="0"/>
        <v>41</v>
      </c>
      <c r="E43" s="67" t="s">
        <v>207</v>
      </c>
    </row>
    <row r="44" spans="1:5" ht="15.75" thickBot="1" x14ac:dyDescent="0.3">
      <c r="A44" s="63"/>
      <c r="B44" s="68"/>
      <c r="C44" s="69"/>
      <c r="D44" s="70">
        <f t="shared" si="0"/>
        <v>42</v>
      </c>
      <c r="E44" s="71" t="s">
        <v>208</v>
      </c>
    </row>
    <row r="45" spans="1:5" ht="61.5" customHeight="1" x14ac:dyDescent="0.25">
      <c r="A45" s="63"/>
      <c r="B45" s="72">
        <v>9</v>
      </c>
      <c r="C45" s="73" t="s">
        <v>209</v>
      </c>
      <c r="D45" s="74">
        <f t="shared" si="0"/>
        <v>43</v>
      </c>
      <c r="E45" s="76" t="s">
        <v>210</v>
      </c>
    </row>
    <row r="46" spans="1:5" ht="15.75" customHeight="1" x14ac:dyDescent="0.25">
      <c r="A46" s="63"/>
      <c r="B46" s="64"/>
      <c r="C46" s="65"/>
      <c r="D46" s="66">
        <f t="shared" si="0"/>
        <v>44</v>
      </c>
      <c r="E46" s="67" t="s">
        <v>211</v>
      </c>
    </row>
    <row r="47" spans="1:5" x14ac:dyDescent="0.25">
      <c r="A47" s="63"/>
      <c r="B47" s="64"/>
      <c r="C47" s="65"/>
      <c r="D47" s="66">
        <f t="shared" si="0"/>
        <v>45</v>
      </c>
      <c r="E47" s="67" t="s">
        <v>212</v>
      </c>
    </row>
    <row r="48" spans="1:5" ht="30" x14ac:dyDescent="0.25">
      <c r="A48" s="63"/>
      <c r="B48" s="64"/>
      <c r="C48" s="65"/>
      <c r="D48" s="66">
        <f t="shared" si="0"/>
        <v>46</v>
      </c>
      <c r="E48" s="67" t="s">
        <v>213</v>
      </c>
    </row>
    <row r="49" spans="1:5" ht="15.75" thickBot="1" x14ac:dyDescent="0.3">
      <c r="A49" s="63"/>
      <c r="B49" s="68"/>
      <c r="C49" s="69"/>
      <c r="D49" s="70">
        <f t="shared" si="0"/>
        <v>47</v>
      </c>
      <c r="E49" s="71" t="s">
        <v>214</v>
      </c>
    </row>
    <row r="50" spans="1:5" ht="32.25" customHeight="1" x14ac:dyDescent="0.25">
      <c r="A50" s="63"/>
      <c r="B50" s="72">
        <v>10</v>
      </c>
      <c r="C50" s="73" t="s">
        <v>215</v>
      </c>
      <c r="D50" s="74">
        <f t="shared" si="0"/>
        <v>48</v>
      </c>
      <c r="E50" s="76" t="s">
        <v>216</v>
      </c>
    </row>
    <row r="51" spans="1:5" ht="30" x14ac:dyDescent="0.25">
      <c r="A51" s="63"/>
      <c r="B51" s="64"/>
      <c r="C51" s="65"/>
      <c r="D51" s="66">
        <f t="shared" si="0"/>
        <v>49</v>
      </c>
      <c r="E51" s="67" t="s">
        <v>217</v>
      </c>
    </row>
    <row r="52" spans="1:5" ht="30" x14ac:dyDescent="0.25">
      <c r="A52" s="63"/>
      <c r="B52" s="64"/>
      <c r="C52" s="65"/>
      <c r="D52" s="66">
        <f t="shared" si="0"/>
        <v>50</v>
      </c>
      <c r="E52" s="67" t="s">
        <v>218</v>
      </c>
    </row>
    <row r="53" spans="1:5" ht="60.75" customHeight="1" x14ac:dyDescent="0.25">
      <c r="A53" s="63"/>
      <c r="B53" s="64"/>
      <c r="C53" s="65"/>
      <c r="D53" s="66">
        <f t="shared" si="0"/>
        <v>51</v>
      </c>
      <c r="E53" s="67" t="s">
        <v>219</v>
      </c>
    </row>
    <row r="54" spans="1:5" ht="30" x14ac:dyDescent="0.25">
      <c r="A54" s="63"/>
      <c r="B54" s="64"/>
      <c r="C54" s="65"/>
      <c r="D54" s="66">
        <f t="shared" si="0"/>
        <v>52</v>
      </c>
      <c r="E54" s="67" t="s">
        <v>220</v>
      </c>
    </row>
    <row r="55" spans="1:5" ht="30" x14ac:dyDescent="0.25">
      <c r="A55" s="63"/>
      <c r="B55" s="64"/>
      <c r="C55" s="65"/>
      <c r="D55" s="66">
        <f t="shared" si="0"/>
        <v>53</v>
      </c>
      <c r="E55" s="67" t="s">
        <v>221</v>
      </c>
    </row>
    <row r="56" spans="1:5" x14ac:dyDescent="0.25">
      <c r="A56" s="63"/>
      <c r="B56" s="64"/>
      <c r="C56" s="65"/>
      <c r="D56" s="66">
        <f t="shared" si="0"/>
        <v>54</v>
      </c>
      <c r="E56" s="67" t="s">
        <v>222</v>
      </c>
    </row>
    <row r="57" spans="1:5" ht="31.5" customHeight="1" x14ac:dyDescent="0.25">
      <c r="A57" s="63"/>
      <c r="B57" s="64"/>
      <c r="C57" s="65"/>
      <c r="D57" s="66">
        <f t="shared" si="0"/>
        <v>55</v>
      </c>
      <c r="E57" s="67" t="s">
        <v>223</v>
      </c>
    </row>
    <row r="58" spans="1:5" ht="30" x14ac:dyDescent="0.25">
      <c r="A58" s="63"/>
      <c r="B58" s="64"/>
      <c r="C58" s="65"/>
      <c r="D58" s="66">
        <f t="shared" si="0"/>
        <v>56</v>
      </c>
      <c r="E58" s="67" t="s">
        <v>224</v>
      </c>
    </row>
    <row r="59" spans="1:5" ht="15.75" thickBot="1" x14ac:dyDescent="0.3">
      <c r="A59" s="63"/>
      <c r="B59" s="68"/>
      <c r="C59" s="69"/>
      <c r="D59" s="70">
        <f t="shared" si="0"/>
        <v>57</v>
      </c>
      <c r="E59" s="71" t="s">
        <v>225</v>
      </c>
    </row>
    <row r="60" spans="1:5" ht="30" x14ac:dyDescent="0.25">
      <c r="A60" s="63"/>
      <c r="B60" s="72">
        <v>11</v>
      </c>
      <c r="C60" s="83" t="s">
        <v>226</v>
      </c>
      <c r="D60" s="74">
        <f t="shared" si="0"/>
        <v>58</v>
      </c>
      <c r="E60" s="84" t="s">
        <v>228</v>
      </c>
    </row>
    <row r="61" spans="1:5" ht="15.75" thickBot="1" x14ac:dyDescent="0.3">
      <c r="A61" s="63"/>
      <c r="B61" s="68"/>
      <c r="C61" s="85"/>
      <c r="D61" s="70">
        <f t="shared" si="0"/>
        <v>59</v>
      </c>
      <c r="E61" s="86" t="s">
        <v>227</v>
      </c>
    </row>
    <row r="62" spans="1:5" ht="117.75" customHeight="1" x14ac:dyDescent="0.25">
      <c r="A62" s="63"/>
      <c r="B62" s="72">
        <v>12</v>
      </c>
      <c r="C62" s="73" t="s">
        <v>229</v>
      </c>
      <c r="D62" s="74">
        <f t="shared" si="0"/>
        <v>60</v>
      </c>
      <c r="E62" s="76" t="s">
        <v>230</v>
      </c>
    </row>
    <row r="63" spans="1:5" ht="105" customHeight="1" x14ac:dyDescent="0.25">
      <c r="A63" s="63"/>
      <c r="B63" s="64"/>
      <c r="C63" s="65"/>
      <c r="D63" s="66">
        <f t="shared" si="0"/>
        <v>61</v>
      </c>
      <c r="E63" s="67" t="s">
        <v>231</v>
      </c>
    </row>
    <row r="64" spans="1:5" ht="120.75" customHeight="1" x14ac:dyDescent="0.25">
      <c r="A64" s="63"/>
      <c r="B64" s="64"/>
      <c r="C64" s="65"/>
      <c r="D64" s="66">
        <f t="shared" si="0"/>
        <v>62</v>
      </c>
      <c r="E64" s="67" t="s">
        <v>232</v>
      </c>
    </row>
    <row r="65" spans="1:5" ht="105.75" customHeight="1" x14ac:dyDescent="0.25">
      <c r="A65" s="63"/>
      <c r="B65" s="64"/>
      <c r="C65" s="65"/>
      <c r="D65" s="66">
        <f t="shared" si="0"/>
        <v>63</v>
      </c>
      <c r="E65" s="67" t="s">
        <v>233</v>
      </c>
    </row>
    <row r="66" spans="1:5" ht="61.5" customHeight="1" x14ac:dyDescent="0.25">
      <c r="A66" s="63"/>
      <c r="B66" s="64"/>
      <c r="C66" s="65"/>
      <c r="D66" s="66">
        <f t="shared" si="0"/>
        <v>64</v>
      </c>
      <c r="E66" s="67" t="s">
        <v>234</v>
      </c>
    </row>
    <row r="67" spans="1:5" ht="105" customHeight="1" x14ac:dyDescent="0.25">
      <c r="A67" s="63"/>
      <c r="B67" s="64"/>
      <c r="C67" s="65"/>
      <c r="D67" s="66">
        <f t="shared" si="0"/>
        <v>65</v>
      </c>
      <c r="E67" s="67" t="s">
        <v>235</v>
      </c>
    </row>
    <row r="68" spans="1:5" ht="92.25" customHeight="1" x14ac:dyDescent="0.25">
      <c r="A68" s="63"/>
      <c r="B68" s="64"/>
      <c r="C68" s="65"/>
      <c r="D68" s="66">
        <f t="shared" si="0"/>
        <v>66</v>
      </c>
      <c r="E68" s="67" t="s">
        <v>236</v>
      </c>
    </row>
    <row r="69" spans="1:5" ht="78" customHeight="1" x14ac:dyDescent="0.25">
      <c r="A69" s="63"/>
      <c r="B69" s="64"/>
      <c r="C69" s="65"/>
      <c r="D69" s="66">
        <f t="shared" ref="D69:D70" si="1">D68+1</f>
        <v>67</v>
      </c>
      <c r="E69" s="67" t="s">
        <v>237</v>
      </c>
    </row>
    <row r="70" spans="1:5" ht="35.25" customHeight="1" thickBot="1" x14ac:dyDescent="0.3">
      <c r="A70" s="87"/>
      <c r="B70" s="79"/>
      <c r="C70" s="80"/>
      <c r="D70" s="81">
        <f t="shared" si="1"/>
        <v>68</v>
      </c>
      <c r="E70" s="82" t="s">
        <v>240</v>
      </c>
    </row>
    <row r="71" spans="1:5" ht="75" x14ac:dyDescent="0.25">
      <c r="A71" s="46" t="s">
        <v>241</v>
      </c>
      <c r="B71" s="88">
        <v>1</v>
      </c>
      <c r="C71" s="89" t="s">
        <v>151</v>
      </c>
      <c r="D71" s="88">
        <v>1</v>
      </c>
      <c r="E71" s="90" t="s">
        <v>242</v>
      </c>
    </row>
    <row r="72" spans="1:5" ht="57.75" customHeight="1" x14ac:dyDescent="0.25">
      <c r="A72" s="47"/>
      <c r="B72" s="91"/>
      <c r="C72" s="92"/>
      <c r="D72" s="91">
        <f>D71+1</f>
        <v>2</v>
      </c>
      <c r="E72" s="93" t="s">
        <v>243</v>
      </c>
    </row>
    <row r="73" spans="1:5" ht="87.75" customHeight="1" x14ac:dyDescent="0.25">
      <c r="A73" s="47"/>
      <c r="B73" s="91"/>
      <c r="C73" s="92"/>
      <c r="D73" s="91">
        <f t="shared" ref="D73:D136" si="2">D72+1</f>
        <v>3</v>
      </c>
      <c r="E73" s="93" t="s">
        <v>244</v>
      </c>
    </row>
    <row r="74" spans="1:5" ht="60" x14ac:dyDescent="0.25">
      <c r="A74" s="47"/>
      <c r="B74" s="91"/>
      <c r="C74" s="92"/>
      <c r="D74" s="91">
        <f t="shared" si="2"/>
        <v>4</v>
      </c>
      <c r="E74" s="93" t="s">
        <v>245</v>
      </c>
    </row>
    <row r="75" spans="1:5" ht="47.25" customHeight="1" x14ac:dyDescent="0.25">
      <c r="A75" s="47"/>
      <c r="B75" s="91"/>
      <c r="C75" s="92"/>
      <c r="D75" s="91">
        <f t="shared" si="2"/>
        <v>5</v>
      </c>
      <c r="E75" s="93" t="s">
        <v>246</v>
      </c>
    </row>
    <row r="76" spans="1:5" ht="30" x14ac:dyDescent="0.25">
      <c r="A76" s="47"/>
      <c r="B76" s="91"/>
      <c r="C76" s="92"/>
      <c r="D76" s="91">
        <f t="shared" si="2"/>
        <v>6</v>
      </c>
      <c r="E76" s="93" t="s">
        <v>247</v>
      </c>
    </row>
    <row r="77" spans="1:5" ht="60" x14ac:dyDescent="0.25">
      <c r="A77" s="47"/>
      <c r="B77" s="91"/>
      <c r="C77" s="92"/>
      <c r="D77" s="91">
        <f t="shared" si="2"/>
        <v>7</v>
      </c>
      <c r="E77" s="93" t="s">
        <v>248</v>
      </c>
    </row>
    <row r="78" spans="1:5" ht="45" x14ac:dyDescent="0.25">
      <c r="A78" s="47"/>
      <c r="B78" s="91"/>
      <c r="C78" s="92"/>
      <c r="D78" s="91">
        <f t="shared" si="2"/>
        <v>8</v>
      </c>
      <c r="E78" s="93" t="s">
        <v>249</v>
      </c>
    </row>
    <row r="79" spans="1:5" ht="60" x14ac:dyDescent="0.25">
      <c r="A79" s="47"/>
      <c r="B79" s="91"/>
      <c r="C79" s="92"/>
      <c r="D79" s="91">
        <f t="shared" si="2"/>
        <v>9</v>
      </c>
      <c r="E79" s="93" t="s">
        <v>250</v>
      </c>
    </row>
    <row r="80" spans="1:5" ht="45" x14ac:dyDescent="0.25">
      <c r="A80" s="47"/>
      <c r="B80" s="91"/>
      <c r="C80" s="92"/>
      <c r="D80" s="91">
        <f t="shared" si="2"/>
        <v>10</v>
      </c>
      <c r="E80" s="93" t="s">
        <v>251</v>
      </c>
    </row>
    <row r="81" spans="1:5" ht="45" x14ac:dyDescent="0.25">
      <c r="A81" s="47"/>
      <c r="B81" s="91"/>
      <c r="C81" s="92"/>
      <c r="D81" s="91">
        <f t="shared" si="2"/>
        <v>11</v>
      </c>
      <c r="E81" s="93" t="s">
        <v>252</v>
      </c>
    </row>
    <row r="82" spans="1:5" ht="58.5" customHeight="1" x14ac:dyDescent="0.25">
      <c r="A82" s="47"/>
      <c r="B82" s="91"/>
      <c r="C82" s="92"/>
      <c r="D82" s="91">
        <f t="shared" si="2"/>
        <v>12</v>
      </c>
      <c r="E82" s="93" t="s">
        <v>253</v>
      </c>
    </row>
    <row r="83" spans="1:5" ht="30" x14ac:dyDescent="0.25">
      <c r="A83" s="47"/>
      <c r="B83" s="91"/>
      <c r="C83" s="92"/>
      <c r="D83" s="91">
        <f t="shared" si="2"/>
        <v>13</v>
      </c>
      <c r="E83" s="93" t="s">
        <v>254</v>
      </c>
    </row>
    <row r="84" spans="1:5" ht="60" x14ac:dyDescent="0.25">
      <c r="A84" s="47"/>
      <c r="B84" s="91"/>
      <c r="C84" s="92"/>
      <c r="D84" s="91">
        <f t="shared" si="2"/>
        <v>14</v>
      </c>
      <c r="E84" s="93" t="s">
        <v>255</v>
      </c>
    </row>
    <row r="85" spans="1:5" ht="90" x14ac:dyDescent="0.25">
      <c r="A85" s="47"/>
      <c r="B85" s="91"/>
      <c r="C85" s="92"/>
      <c r="D85" s="91">
        <f t="shared" si="2"/>
        <v>15</v>
      </c>
      <c r="E85" s="93" t="s">
        <v>256</v>
      </c>
    </row>
    <row r="86" spans="1:5" ht="60" x14ac:dyDescent="0.25">
      <c r="A86" s="47"/>
      <c r="B86" s="91"/>
      <c r="C86" s="92"/>
      <c r="D86" s="91">
        <f t="shared" si="2"/>
        <v>16</v>
      </c>
      <c r="E86" s="93" t="s">
        <v>257</v>
      </c>
    </row>
    <row r="87" spans="1:5" ht="60" x14ac:dyDescent="0.25">
      <c r="A87" s="47"/>
      <c r="B87" s="91"/>
      <c r="C87" s="92"/>
      <c r="D87" s="91">
        <f t="shared" si="2"/>
        <v>17</v>
      </c>
      <c r="E87" s="93" t="s">
        <v>258</v>
      </c>
    </row>
    <row r="88" spans="1:5" ht="60" x14ac:dyDescent="0.25">
      <c r="A88" s="47"/>
      <c r="B88" s="91"/>
      <c r="C88" s="92"/>
      <c r="D88" s="91">
        <f t="shared" si="2"/>
        <v>18</v>
      </c>
      <c r="E88" s="93" t="s">
        <v>259</v>
      </c>
    </row>
    <row r="89" spans="1:5" ht="45" x14ac:dyDescent="0.25">
      <c r="A89" s="47"/>
      <c r="B89" s="91"/>
      <c r="C89" s="92"/>
      <c r="D89" s="91">
        <f t="shared" si="2"/>
        <v>19</v>
      </c>
      <c r="E89" s="93" t="s">
        <v>260</v>
      </c>
    </row>
    <row r="90" spans="1:5" ht="45" x14ac:dyDescent="0.25">
      <c r="A90" s="47"/>
      <c r="B90" s="91"/>
      <c r="C90" s="92"/>
      <c r="D90" s="91">
        <f t="shared" si="2"/>
        <v>20</v>
      </c>
      <c r="E90" s="93" t="s">
        <v>261</v>
      </c>
    </row>
    <row r="91" spans="1:5" ht="30" x14ac:dyDescent="0.25">
      <c r="A91" s="47"/>
      <c r="B91" s="91"/>
      <c r="C91" s="92"/>
      <c r="D91" s="91">
        <f t="shared" si="2"/>
        <v>21</v>
      </c>
      <c r="E91" s="93" t="s">
        <v>262</v>
      </c>
    </row>
    <row r="92" spans="1:5" ht="45" x14ac:dyDescent="0.25">
      <c r="A92" s="47"/>
      <c r="B92" s="91"/>
      <c r="C92" s="92"/>
      <c r="D92" s="91">
        <f t="shared" si="2"/>
        <v>22</v>
      </c>
      <c r="E92" s="93" t="s">
        <v>263</v>
      </c>
    </row>
    <row r="93" spans="1:5" ht="45" x14ac:dyDescent="0.25">
      <c r="A93" s="47"/>
      <c r="B93" s="91"/>
      <c r="C93" s="92"/>
      <c r="D93" s="91">
        <f t="shared" si="2"/>
        <v>23</v>
      </c>
      <c r="E93" s="93" t="s">
        <v>264</v>
      </c>
    </row>
    <row r="94" spans="1:5" ht="60" x14ac:dyDescent="0.25">
      <c r="A94" s="47"/>
      <c r="B94" s="91"/>
      <c r="C94" s="92"/>
      <c r="D94" s="91">
        <f t="shared" si="2"/>
        <v>24</v>
      </c>
      <c r="E94" s="93" t="s">
        <v>265</v>
      </c>
    </row>
    <row r="95" spans="1:5" ht="30" x14ac:dyDescent="0.25">
      <c r="A95" s="47"/>
      <c r="B95" s="91"/>
      <c r="C95" s="92"/>
      <c r="D95" s="91">
        <f t="shared" si="2"/>
        <v>25</v>
      </c>
      <c r="E95" s="93" t="s">
        <v>266</v>
      </c>
    </row>
    <row r="96" spans="1:5" ht="45" x14ac:dyDescent="0.25">
      <c r="A96" s="47"/>
      <c r="B96" s="91"/>
      <c r="C96" s="92"/>
      <c r="D96" s="91">
        <f t="shared" si="2"/>
        <v>26</v>
      </c>
      <c r="E96" s="93" t="s">
        <v>267</v>
      </c>
    </row>
    <row r="97" spans="1:5" ht="30" x14ac:dyDescent="0.25">
      <c r="A97" s="47"/>
      <c r="B97" s="91"/>
      <c r="C97" s="92"/>
      <c r="D97" s="91">
        <f t="shared" si="2"/>
        <v>27</v>
      </c>
      <c r="E97" s="93" t="s">
        <v>268</v>
      </c>
    </row>
    <row r="98" spans="1:5" ht="75" x14ac:dyDescent="0.25">
      <c r="A98" s="47"/>
      <c r="B98" s="91"/>
      <c r="C98" s="92"/>
      <c r="D98" s="91">
        <f t="shared" si="2"/>
        <v>28</v>
      </c>
      <c r="E98" s="93" t="s">
        <v>269</v>
      </c>
    </row>
    <row r="99" spans="1:5" ht="45" x14ac:dyDescent="0.25">
      <c r="A99" s="47"/>
      <c r="B99" s="91"/>
      <c r="C99" s="92"/>
      <c r="D99" s="91">
        <f t="shared" si="2"/>
        <v>29</v>
      </c>
      <c r="E99" s="93" t="s">
        <v>270</v>
      </c>
    </row>
    <row r="100" spans="1:5" ht="30" x14ac:dyDescent="0.25">
      <c r="A100" s="47"/>
      <c r="B100" s="91"/>
      <c r="C100" s="92"/>
      <c r="D100" s="91">
        <f t="shared" si="2"/>
        <v>30</v>
      </c>
      <c r="E100" s="93" t="s">
        <v>271</v>
      </c>
    </row>
    <row r="101" spans="1:5" ht="30" x14ac:dyDescent="0.25">
      <c r="A101" s="47"/>
      <c r="B101" s="91"/>
      <c r="C101" s="92"/>
      <c r="D101" s="91">
        <f t="shared" si="2"/>
        <v>31</v>
      </c>
      <c r="E101" s="93" t="s">
        <v>272</v>
      </c>
    </row>
    <row r="102" spans="1:5" ht="45" x14ac:dyDescent="0.25">
      <c r="A102" s="47"/>
      <c r="B102" s="91"/>
      <c r="C102" s="92"/>
      <c r="D102" s="91">
        <f t="shared" si="2"/>
        <v>32</v>
      </c>
      <c r="E102" s="93" t="s">
        <v>273</v>
      </c>
    </row>
    <row r="103" spans="1:5" ht="75" x14ac:dyDescent="0.25">
      <c r="A103" s="47"/>
      <c r="B103" s="91"/>
      <c r="C103" s="92"/>
      <c r="D103" s="91">
        <f t="shared" si="2"/>
        <v>33</v>
      </c>
      <c r="E103" s="93" t="s">
        <v>274</v>
      </c>
    </row>
    <row r="104" spans="1:5" ht="45" x14ac:dyDescent="0.25">
      <c r="A104" s="47"/>
      <c r="B104" s="91"/>
      <c r="C104" s="92"/>
      <c r="D104" s="91">
        <f t="shared" si="2"/>
        <v>34</v>
      </c>
      <c r="E104" s="93" t="s">
        <v>275</v>
      </c>
    </row>
    <row r="105" spans="1:5" ht="60" x14ac:dyDescent="0.25">
      <c r="A105" s="47"/>
      <c r="B105" s="91"/>
      <c r="C105" s="92"/>
      <c r="D105" s="91">
        <f t="shared" si="2"/>
        <v>35</v>
      </c>
      <c r="E105" s="93" t="s">
        <v>276</v>
      </c>
    </row>
    <row r="106" spans="1:5" ht="90" x14ac:dyDescent="0.25">
      <c r="A106" s="47"/>
      <c r="B106" s="91"/>
      <c r="C106" s="92"/>
      <c r="D106" s="91">
        <f t="shared" si="2"/>
        <v>36</v>
      </c>
      <c r="E106" s="93" t="s">
        <v>277</v>
      </c>
    </row>
    <row r="107" spans="1:5" ht="75" x14ac:dyDescent="0.25">
      <c r="A107" s="47"/>
      <c r="B107" s="91"/>
      <c r="C107" s="92"/>
      <c r="D107" s="91">
        <f t="shared" si="2"/>
        <v>37</v>
      </c>
      <c r="E107" s="93" t="s">
        <v>278</v>
      </c>
    </row>
    <row r="108" spans="1:5" ht="45" x14ac:dyDescent="0.25">
      <c r="A108" s="47"/>
      <c r="B108" s="91"/>
      <c r="C108" s="92"/>
      <c r="D108" s="91">
        <f t="shared" si="2"/>
        <v>38</v>
      </c>
      <c r="E108" s="93" t="s">
        <v>279</v>
      </c>
    </row>
    <row r="109" spans="1:5" ht="60" x14ac:dyDescent="0.25">
      <c r="A109" s="47"/>
      <c r="B109" s="91"/>
      <c r="C109" s="92"/>
      <c r="D109" s="91">
        <f t="shared" si="2"/>
        <v>39</v>
      </c>
      <c r="E109" s="93" t="s">
        <v>280</v>
      </c>
    </row>
    <row r="110" spans="1:5" ht="75" x14ac:dyDescent="0.25">
      <c r="A110" s="47"/>
      <c r="B110" s="91"/>
      <c r="C110" s="92"/>
      <c r="D110" s="91">
        <f t="shared" si="2"/>
        <v>40</v>
      </c>
      <c r="E110" s="93" t="s">
        <v>281</v>
      </c>
    </row>
    <row r="111" spans="1:5" ht="45" x14ac:dyDescent="0.25">
      <c r="A111" s="47"/>
      <c r="B111" s="91"/>
      <c r="C111" s="92"/>
      <c r="D111" s="91">
        <f t="shared" si="2"/>
        <v>41</v>
      </c>
      <c r="E111" s="93" t="s">
        <v>282</v>
      </c>
    </row>
    <row r="112" spans="1:5" ht="45" x14ac:dyDescent="0.25">
      <c r="A112" s="47"/>
      <c r="B112" s="91"/>
      <c r="C112" s="92"/>
      <c r="D112" s="91">
        <f t="shared" si="2"/>
        <v>42</v>
      </c>
      <c r="E112" s="93" t="s">
        <v>283</v>
      </c>
    </row>
    <row r="113" spans="1:5" ht="60" x14ac:dyDescent="0.25">
      <c r="A113" s="47"/>
      <c r="B113" s="91"/>
      <c r="C113" s="92"/>
      <c r="D113" s="91">
        <f t="shared" si="2"/>
        <v>43</v>
      </c>
      <c r="E113" s="93" t="s">
        <v>284</v>
      </c>
    </row>
    <row r="114" spans="1:5" ht="105" x14ac:dyDescent="0.25">
      <c r="A114" s="47"/>
      <c r="B114" s="91">
        <v>2</v>
      </c>
      <c r="C114" s="94" t="s">
        <v>285</v>
      </c>
      <c r="D114" s="91">
        <f t="shared" si="2"/>
        <v>44</v>
      </c>
      <c r="E114" s="93" t="s">
        <v>286</v>
      </c>
    </row>
    <row r="115" spans="1:5" ht="90" x14ac:dyDescent="0.25">
      <c r="A115" s="47"/>
      <c r="B115" s="91"/>
      <c r="C115" s="92"/>
      <c r="D115" s="91">
        <f t="shared" si="2"/>
        <v>45</v>
      </c>
      <c r="E115" s="93" t="s">
        <v>287</v>
      </c>
    </row>
    <row r="116" spans="1:5" ht="75" x14ac:dyDescent="0.25">
      <c r="A116" s="47"/>
      <c r="B116" s="91"/>
      <c r="C116" s="92"/>
      <c r="D116" s="91">
        <f t="shared" si="2"/>
        <v>46</v>
      </c>
      <c r="E116" s="93" t="s">
        <v>288</v>
      </c>
    </row>
    <row r="117" spans="1:5" ht="60" x14ac:dyDescent="0.25">
      <c r="A117" s="47"/>
      <c r="B117" s="91"/>
      <c r="C117" s="92"/>
      <c r="D117" s="91">
        <f t="shared" si="2"/>
        <v>47</v>
      </c>
      <c r="E117" s="93" t="s">
        <v>289</v>
      </c>
    </row>
    <row r="118" spans="1:5" ht="60" x14ac:dyDescent="0.25">
      <c r="A118" s="47"/>
      <c r="B118" s="91"/>
      <c r="C118" s="92"/>
      <c r="D118" s="91">
        <f t="shared" si="2"/>
        <v>48</v>
      </c>
      <c r="E118" s="93" t="s">
        <v>290</v>
      </c>
    </row>
    <row r="119" spans="1:5" ht="105" x14ac:dyDescent="0.25">
      <c r="A119" s="47"/>
      <c r="B119" s="91">
        <v>3</v>
      </c>
      <c r="C119" s="94" t="s">
        <v>291</v>
      </c>
      <c r="D119" s="91">
        <f t="shared" si="2"/>
        <v>49</v>
      </c>
      <c r="E119" s="93" t="s">
        <v>292</v>
      </c>
    </row>
    <row r="120" spans="1:5" ht="105" x14ac:dyDescent="0.25">
      <c r="A120" s="47"/>
      <c r="B120" s="91"/>
      <c r="C120" s="92"/>
      <c r="D120" s="91">
        <f t="shared" si="2"/>
        <v>50</v>
      </c>
      <c r="E120" s="93" t="s">
        <v>293</v>
      </c>
    </row>
    <row r="121" spans="1:5" ht="60" x14ac:dyDescent="0.25">
      <c r="A121" s="47"/>
      <c r="B121" s="91"/>
      <c r="C121" s="92"/>
      <c r="D121" s="91">
        <f t="shared" si="2"/>
        <v>51</v>
      </c>
      <c r="E121" s="93" t="s">
        <v>294</v>
      </c>
    </row>
    <row r="122" spans="1:5" ht="75" x14ac:dyDescent="0.25">
      <c r="A122" s="47"/>
      <c r="B122" s="91"/>
      <c r="C122" s="92"/>
      <c r="D122" s="91">
        <f t="shared" si="2"/>
        <v>52</v>
      </c>
      <c r="E122" s="93" t="s">
        <v>295</v>
      </c>
    </row>
    <row r="123" spans="1:5" x14ac:dyDescent="0.25">
      <c r="A123" s="47"/>
      <c r="B123" s="91"/>
      <c r="C123" s="92"/>
      <c r="D123" s="91">
        <f t="shared" si="2"/>
        <v>53</v>
      </c>
      <c r="E123" s="93" t="s">
        <v>296</v>
      </c>
    </row>
    <row r="124" spans="1:5" ht="60" x14ac:dyDescent="0.25">
      <c r="A124" s="47"/>
      <c r="B124" s="91"/>
      <c r="C124" s="92"/>
      <c r="D124" s="91">
        <f t="shared" si="2"/>
        <v>54</v>
      </c>
      <c r="E124" s="93" t="s">
        <v>297</v>
      </c>
    </row>
    <row r="125" spans="1:5" ht="30" x14ac:dyDescent="0.25">
      <c r="A125" s="47"/>
      <c r="B125" s="91"/>
      <c r="C125" s="92"/>
      <c r="D125" s="91">
        <f t="shared" si="2"/>
        <v>55</v>
      </c>
      <c r="E125" s="93" t="s">
        <v>298</v>
      </c>
    </row>
    <row r="126" spans="1:5" ht="60" x14ac:dyDescent="0.25">
      <c r="A126" s="47"/>
      <c r="B126" s="91"/>
      <c r="C126" s="92"/>
      <c r="D126" s="91">
        <f t="shared" si="2"/>
        <v>56</v>
      </c>
      <c r="E126" s="93" t="s">
        <v>299</v>
      </c>
    </row>
    <row r="127" spans="1:5" ht="45" x14ac:dyDescent="0.25">
      <c r="A127" s="47"/>
      <c r="B127" s="91"/>
      <c r="C127" s="92"/>
      <c r="D127" s="91">
        <f t="shared" si="2"/>
        <v>57</v>
      </c>
      <c r="E127" s="93" t="s">
        <v>300</v>
      </c>
    </row>
    <row r="128" spans="1:5" ht="60" x14ac:dyDescent="0.25">
      <c r="A128" s="47"/>
      <c r="B128" s="91"/>
      <c r="C128" s="92"/>
      <c r="D128" s="91">
        <f t="shared" si="2"/>
        <v>58</v>
      </c>
      <c r="E128" s="93" t="s">
        <v>301</v>
      </c>
    </row>
    <row r="129" spans="1:5" ht="30" x14ac:dyDescent="0.25">
      <c r="A129" s="47"/>
      <c r="B129" s="91"/>
      <c r="C129" s="92"/>
      <c r="D129" s="91">
        <f t="shared" si="2"/>
        <v>59</v>
      </c>
      <c r="E129" s="93" t="s">
        <v>302</v>
      </c>
    </row>
    <row r="130" spans="1:5" ht="45" x14ac:dyDescent="0.25">
      <c r="A130" s="47"/>
      <c r="B130" s="91">
        <v>4</v>
      </c>
      <c r="C130" s="94" t="s">
        <v>303</v>
      </c>
      <c r="D130" s="91">
        <f t="shared" si="2"/>
        <v>60</v>
      </c>
      <c r="E130" s="93" t="s">
        <v>304</v>
      </c>
    </row>
    <row r="131" spans="1:5" ht="45" x14ac:dyDescent="0.25">
      <c r="A131" s="47"/>
      <c r="B131" s="91"/>
      <c r="C131" s="92"/>
      <c r="D131" s="91">
        <f t="shared" si="2"/>
        <v>61</v>
      </c>
      <c r="E131" s="93" t="s">
        <v>305</v>
      </c>
    </row>
    <row r="132" spans="1:5" ht="60" x14ac:dyDescent="0.25">
      <c r="A132" s="47"/>
      <c r="B132" s="91"/>
      <c r="C132" s="92"/>
      <c r="D132" s="91">
        <f t="shared" si="2"/>
        <v>62</v>
      </c>
      <c r="E132" s="93" t="s">
        <v>306</v>
      </c>
    </row>
    <row r="133" spans="1:5" ht="45" x14ac:dyDescent="0.25">
      <c r="A133" s="47"/>
      <c r="B133" s="91"/>
      <c r="C133" s="92"/>
      <c r="D133" s="91">
        <f t="shared" si="2"/>
        <v>63</v>
      </c>
      <c r="E133" s="93" t="s">
        <v>307</v>
      </c>
    </row>
    <row r="134" spans="1:5" ht="30" x14ac:dyDescent="0.25">
      <c r="A134" s="47"/>
      <c r="B134" s="91"/>
      <c r="C134" s="92"/>
      <c r="D134" s="91">
        <f t="shared" si="2"/>
        <v>64</v>
      </c>
      <c r="E134" s="93" t="s">
        <v>308</v>
      </c>
    </row>
    <row r="135" spans="1:5" ht="60" x14ac:dyDescent="0.25">
      <c r="A135" s="47"/>
      <c r="B135" s="91"/>
      <c r="C135" s="92"/>
      <c r="D135" s="91">
        <f t="shared" si="2"/>
        <v>65</v>
      </c>
      <c r="E135" s="93" t="s">
        <v>309</v>
      </c>
    </row>
    <row r="136" spans="1:5" ht="60" x14ac:dyDescent="0.25">
      <c r="A136" s="47"/>
      <c r="B136" s="91">
        <v>5</v>
      </c>
      <c r="C136" s="94" t="s">
        <v>310</v>
      </c>
      <c r="D136" s="91">
        <f t="shared" si="2"/>
        <v>66</v>
      </c>
      <c r="E136" s="93" t="s">
        <v>311</v>
      </c>
    </row>
    <row r="137" spans="1:5" ht="75" x14ac:dyDescent="0.25">
      <c r="A137" s="47"/>
      <c r="B137" s="91"/>
      <c r="C137" s="92"/>
      <c r="D137" s="91">
        <f t="shared" ref="D137:D138" si="3">D136+1</f>
        <v>67</v>
      </c>
      <c r="E137" s="93" t="s">
        <v>312</v>
      </c>
    </row>
    <row r="138" spans="1:5" ht="45.75" thickBot="1" x14ac:dyDescent="0.3">
      <c r="A138" s="48"/>
      <c r="B138" s="95"/>
      <c r="C138" s="96"/>
      <c r="D138" s="95">
        <f t="shared" si="3"/>
        <v>68</v>
      </c>
      <c r="E138" s="97" t="s">
        <v>313</v>
      </c>
    </row>
    <row r="139" spans="1:5" ht="36.75" customHeight="1" x14ac:dyDescent="0.25">
      <c r="A139" s="53" t="s">
        <v>314</v>
      </c>
      <c r="B139" s="102">
        <v>1</v>
      </c>
      <c r="C139" s="103" t="s">
        <v>315</v>
      </c>
      <c r="D139" s="102">
        <v>1</v>
      </c>
      <c r="E139" s="104" t="s">
        <v>316</v>
      </c>
    </row>
    <row r="140" spans="1:5" ht="30" x14ac:dyDescent="0.25">
      <c r="A140" s="51"/>
      <c r="B140" s="105"/>
      <c r="C140" s="106"/>
      <c r="D140" s="105">
        <f>D139+1</f>
        <v>2</v>
      </c>
      <c r="E140" s="107" t="s">
        <v>317</v>
      </c>
    </row>
    <row r="141" spans="1:5" ht="30" x14ac:dyDescent="0.25">
      <c r="A141" s="51"/>
      <c r="B141" s="105"/>
      <c r="C141" s="106"/>
      <c r="D141" s="105">
        <f t="shared" ref="D141:D172" si="4">D140+1</f>
        <v>3</v>
      </c>
      <c r="E141" s="107" t="s">
        <v>318</v>
      </c>
    </row>
    <row r="142" spans="1:5" ht="30" x14ac:dyDescent="0.25">
      <c r="A142" s="51"/>
      <c r="B142" s="105"/>
      <c r="C142" s="106"/>
      <c r="D142" s="105">
        <f t="shared" si="4"/>
        <v>4</v>
      </c>
      <c r="E142" s="107" t="s">
        <v>319</v>
      </c>
    </row>
    <row r="143" spans="1:5" ht="30" x14ac:dyDescent="0.25">
      <c r="A143" s="51"/>
      <c r="B143" s="105"/>
      <c r="C143" s="106"/>
      <c r="D143" s="105">
        <f t="shared" si="4"/>
        <v>5</v>
      </c>
      <c r="E143" s="107" t="s">
        <v>320</v>
      </c>
    </row>
    <row r="144" spans="1:5" ht="45" x14ac:dyDescent="0.25">
      <c r="A144" s="51"/>
      <c r="B144" s="105"/>
      <c r="C144" s="106"/>
      <c r="D144" s="105">
        <f t="shared" si="4"/>
        <v>6</v>
      </c>
      <c r="E144" s="107" t="s">
        <v>321</v>
      </c>
    </row>
    <row r="145" spans="1:5" ht="30" x14ac:dyDescent="0.25">
      <c r="A145" s="51"/>
      <c r="B145" s="105">
        <v>2</v>
      </c>
      <c r="C145" s="108" t="s">
        <v>322</v>
      </c>
      <c r="D145" s="105">
        <f t="shared" si="4"/>
        <v>7</v>
      </c>
      <c r="E145" s="107" t="s">
        <v>323</v>
      </c>
    </row>
    <row r="146" spans="1:5" x14ac:dyDescent="0.25">
      <c r="A146" s="51"/>
      <c r="B146" s="105"/>
      <c r="C146" s="106"/>
      <c r="D146" s="105">
        <f t="shared" si="4"/>
        <v>8</v>
      </c>
      <c r="E146" s="107" t="s">
        <v>324</v>
      </c>
    </row>
    <row r="147" spans="1:5" ht="30" x14ac:dyDescent="0.25">
      <c r="A147" s="51"/>
      <c r="B147" s="105"/>
      <c r="C147" s="106"/>
      <c r="D147" s="105">
        <f t="shared" si="4"/>
        <v>9</v>
      </c>
      <c r="E147" s="107" t="s">
        <v>325</v>
      </c>
    </row>
    <row r="148" spans="1:5" ht="45" x14ac:dyDescent="0.25">
      <c r="A148" s="51"/>
      <c r="B148" s="105"/>
      <c r="C148" s="106"/>
      <c r="D148" s="105">
        <f t="shared" si="4"/>
        <v>10</v>
      </c>
      <c r="E148" s="107" t="s">
        <v>326</v>
      </c>
    </row>
    <row r="149" spans="1:5" ht="45" x14ac:dyDescent="0.25">
      <c r="A149" s="51"/>
      <c r="B149" s="105"/>
      <c r="C149" s="106"/>
      <c r="D149" s="105">
        <f t="shared" si="4"/>
        <v>11</v>
      </c>
      <c r="E149" s="107" t="s">
        <v>327</v>
      </c>
    </row>
    <row r="150" spans="1:5" ht="30" x14ac:dyDescent="0.25">
      <c r="A150" s="51"/>
      <c r="B150" s="105"/>
      <c r="C150" s="106"/>
      <c r="D150" s="105">
        <f t="shared" si="4"/>
        <v>12</v>
      </c>
      <c r="E150" s="107" t="s">
        <v>328</v>
      </c>
    </row>
    <row r="151" spans="1:5" ht="30" x14ac:dyDescent="0.25">
      <c r="A151" s="51"/>
      <c r="B151" s="105"/>
      <c r="C151" s="106"/>
      <c r="D151" s="105">
        <f t="shared" si="4"/>
        <v>13</v>
      </c>
      <c r="E151" s="107" t="s">
        <v>329</v>
      </c>
    </row>
    <row r="152" spans="1:5" ht="30" x14ac:dyDescent="0.25">
      <c r="A152" s="51"/>
      <c r="B152" s="105">
        <v>3</v>
      </c>
      <c r="C152" s="108" t="s">
        <v>330</v>
      </c>
      <c r="D152" s="105">
        <f t="shared" si="4"/>
        <v>14</v>
      </c>
      <c r="E152" s="107" t="s">
        <v>331</v>
      </c>
    </row>
    <row r="153" spans="1:5" x14ac:dyDescent="0.25">
      <c r="A153" s="51"/>
      <c r="B153" s="105"/>
      <c r="C153" s="106"/>
      <c r="D153" s="105">
        <f t="shared" si="4"/>
        <v>15</v>
      </c>
      <c r="E153" s="107" t="s">
        <v>332</v>
      </c>
    </row>
    <row r="154" spans="1:5" ht="30" x14ac:dyDescent="0.25">
      <c r="A154" s="51"/>
      <c r="B154" s="105"/>
      <c r="C154" s="106"/>
      <c r="D154" s="105">
        <f t="shared" si="4"/>
        <v>16</v>
      </c>
      <c r="E154" s="107" t="s">
        <v>333</v>
      </c>
    </row>
    <row r="155" spans="1:5" ht="30" x14ac:dyDescent="0.25">
      <c r="A155" s="51"/>
      <c r="B155" s="105"/>
      <c r="C155" s="106"/>
      <c r="D155" s="105">
        <f t="shared" si="4"/>
        <v>17</v>
      </c>
      <c r="E155" s="107" t="s">
        <v>334</v>
      </c>
    </row>
    <row r="156" spans="1:5" ht="30" x14ac:dyDescent="0.25">
      <c r="A156" s="51"/>
      <c r="B156" s="105"/>
      <c r="C156" s="106"/>
      <c r="D156" s="105">
        <f t="shared" si="4"/>
        <v>18</v>
      </c>
      <c r="E156" s="107" t="s">
        <v>335</v>
      </c>
    </row>
    <row r="157" spans="1:5" ht="45" x14ac:dyDescent="0.25">
      <c r="A157" s="51"/>
      <c r="B157" s="105"/>
      <c r="C157" s="106"/>
      <c r="D157" s="105">
        <f t="shared" si="4"/>
        <v>19</v>
      </c>
      <c r="E157" s="107" t="s">
        <v>336</v>
      </c>
    </row>
    <row r="158" spans="1:5" ht="45" x14ac:dyDescent="0.25">
      <c r="A158" s="51"/>
      <c r="B158" s="105">
        <v>4</v>
      </c>
      <c r="C158" s="106" t="s">
        <v>337</v>
      </c>
      <c r="D158" s="105">
        <f t="shared" si="4"/>
        <v>20</v>
      </c>
      <c r="E158" s="107" t="s">
        <v>338</v>
      </c>
    </row>
    <row r="159" spans="1:5" ht="45" x14ac:dyDescent="0.25">
      <c r="A159" s="51"/>
      <c r="B159" s="105"/>
      <c r="C159" s="106"/>
      <c r="D159" s="105">
        <f t="shared" si="4"/>
        <v>21</v>
      </c>
      <c r="E159" s="107" t="s">
        <v>339</v>
      </c>
    </row>
    <row r="160" spans="1:5" ht="45" x14ac:dyDescent="0.25">
      <c r="A160" s="51"/>
      <c r="B160" s="105"/>
      <c r="C160" s="106"/>
      <c r="D160" s="105">
        <f t="shared" si="4"/>
        <v>22</v>
      </c>
      <c r="E160" s="107" t="s">
        <v>340</v>
      </c>
    </row>
    <row r="161" spans="1:5" ht="30" x14ac:dyDescent="0.25">
      <c r="A161" s="51"/>
      <c r="B161" s="105"/>
      <c r="C161" s="106"/>
      <c r="D161" s="105">
        <f t="shared" si="4"/>
        <v>23</v>
      </c>
      <c r="E161" s="107" t="s">
        <v>341</v>
      </c>
    </row>
    <row r="162" spans="1:5" ht="30" x14ac:dyDescent="0.25">
      <c r="A162" s="51"/>
      <c r="B162" s="105"/>
      <c r="C162" s="106"/>
      <c r="D162" s="105">
        <f t="shared" si="4"/>
        <v>24</v>
      </c>
      <c r="E162" s="107" t="s">
        <v>342</v>
      </c>
    </row>
    <row r="163" spans="1:5" ht="45" x14ac:dyDescent="0.25">
      <c r="A163" s="51"/>
      <c r="B163" s="105">
        <v>5</v>
      </c>
      <c r="C163" s="108" t="s">
        <v>343</v>
      </c>
      <c r="D163" s="105">
        <f t="shared" si="4"/>
        <v>25</v>
      </c>
      <c r="E163" s="107" t="s">
        <v>344</v>
      </c>
    </row>
    <row r="164" spans="1:5" ht="30" x14ac:dyDescent="0.25">
      <c r="A164" s="51"/>
      <c r="B164" s="105"/>
      <c r="C164" s="106"/>
      <c r="D164" s="105">
        <f t="shared" si="4"/>
        <v>26</v>
      </c>
      <c r="E164" s="107" t="s">
        <v>345</v>
      </c>
    </row>
    <row r="165" spans="1:5" ht="30" x14ac:dyDescent="0.25">
      <c r="A165" s="51"/>
      <c r="B165" s="105"/>
      <c r="C165" s="106"/>
      <c r="D165" s="105">
        <f t="shared" si="4"/>
        <v>27</v>
      </c>
      <c r="E165" s="107" t="s">
        <v>346</v>
      </c>
    </row>
    <row r="166" spans="1:5" ht="30" x14ac:dyDescent="0.25">
      <c r="A166" s="51"/>
      <c r="B166" s="105"/>
      <c r="C166" s="106"/>
      <c r="D166" s="105">
        <f t="shared" si="4"/>
        <v>28</v>
      </c>
      <c r="E166" s="107" t="s">
        <v>347</v>
      </c>
    </row>
    <row r="167" spans="1:5" x14ac:dyDescent="0.25">
      <c r="A167" s="51"/>
      <c r="B167" s="105"/>
      <c r="C167" s="106"/>
      <c r="D167" s="105">
        <f t="shared" si="4"/>
        <v>29</v>
      </c>
      <c r="E167" s="107" t="s">
        <v>332</v>
      </c>
    </row>
    <row r="168" spans="1:5" ht="30" x14ac:dyDescent="0.25">
      <c r="A168" s="51"/>
      <c r="B168" s="105"/>
      <c r="C168" s="106"/>
      <c r="D168" s="105">
        <f t="shared" si="4"/>
        <v>30</v>
      </c>
      <c r="E168" s="107" t="s">
        <v>348</v>
      </c>
    </row>
    <row r="169" spans="1:5" ht="30" x14ac:dyDescent="0.25">
      <c r="A169" s="51"/>
      <c r="B169" s="105">
        <v>6</v>
      </c>
      <c r="C169" s="106" t="s">
        <v>349</v>
      </c>
      <c r="D169" s="105">
        <f t="shared" si="4"/>
        <v>31</v>
      </c>
      <c r="E169" s="107" t="s">
        <v>350</v>
      </c>
    </row>
    <row r="170" spans="1:5" ht="30" x14ac:dyDescent="0.25">
      <c r="A170" s="51"/>
      <c r="B170" s="105"/>
      <c r="C170" s="106"/>
      <c r="D170" s="105">
        <f t="shared" si="4"/>
        <v>32</v>
      </c>
      <c r="E170" s="107" t="s">
        <v>351</v>
      </c>
    </row>
    <row r="171" spans="1:5" x14ac:dyDescent="0.25">
      <c r="A171" s="51"/>
      <c r="B171" s="105"/>
      <c r="C171" s="106"/>
      <c r="D171" s="105">
        <f t="shared" si="4"/>
        <v>33</v>
      </c>
      <c r="E171" s="107" t="s">
        <v>352</v>
      </c>
    </row>
    <row r="172" spans="1:5" ht="45.75" thickBot="1" x14ac:dyDescent="0.3">
      <c r="A172" s="52"/>
      <c r="B172" s="109"/>
      <c r="C172" s="110"/>
      <c r="D172" s="105">
        <f t="shared" si="4"/>
        <v>34</v>
      </c>
      <c r="E172" s="111" t="s">
        <v>353</v>
      </c>
    </row>
    <row r="173" spans="1:5" ht="45" x14ac:dyDescent="0.25">
      <c r="A173" s="98" t="s">
        <v>137</v>
      </c>
      <c r="B173" s="74">
        <v>1</v>
      </c>
      <c r="C173" s="73" t="s">
        <v>354</v>
      </c>
      <c r="D173" s="74">
        <v>1</v>
      </c>
      <c r="E173" s="76" t="s">
        <v>355</v>
      </c>
    </row>
    <row r="174" spans="1:5" ht="30" x14ac:dyDescent="0.25">
      <c r="A174" s="99"/>
      <c r="B174" s="66"/>
      <c r="C174" s="65"/>
      <c r="D174" s="66">
        <f>D173+1</f>
        <v>2</v>
      </c>
      <c r="E174" s="67" t="s">
        <v>356</v>
      </c>
    </row>
    <row r="175" spans="1:5" ht="30" x14ac:dyDescent="0.25">
      <c r="A175" s="99"/>
      <c r="B175" s="66"/>
      <c r="C175" s="65"/>
      <c r="D175" s="66">
        <f t="shared" ref="D175:D207" si="5">D174+1</f>
        <v>3</v>
      </c>
      <c r="E175" s="67" t="s">
        <v>357</v>
      </c>
    </row>
    <row r="176" spans="1:5" ht="30" x14ac:dyDescent="0.25">
      <c r="A176" s="99"/>
      <c r="B176" s="66"/>
      <c r="C176" s="65"/>
      <c r="D176" s="66">
        <f t="shared" si="5"/>
        <v>4</v>
      </c>
      <c r="E176" s="67" t="s">
        <v>358</v>
      </c>
    </row>
    <row r="177" spans="1:5" ht="45" x14ac:dyDescent="0.25">
      <c r="A177" s="99"/>
      <c r="B177" s="66"/>
      <c r="C177" s="65"/>
      <c r="D177" s="66">
        <f t="shared" si="5"/>
        <v>5</v>
      </c>
      <c r="E177" s="67" t="s">
        <v>359</v>
      </c>
    </row>
    <row r="178" spans="1:5" x14ac:dyDescent="0.25">
      <c r="A178" s="99"/>
      <c r="B178" s="66"/>
      <c r="C178" s="65"/>
      <c r="D178" s="66">
        <f t="shared" si="5"/>
        <v>6</v>
      </c>
      <c r="E178" s="67" t="s">
        <v>360</v>
      </c>
    </row>
    <row r="179" spans="1:5" ht="45" x14ac:dyDescent="0.25">
      <c r="A179" s="99"/>
      <c r="B179" s="66"/>
      <c r="C179" s="65"/>
      <c r="D179" s="66">
        <f t="shared" si="5"/>
        <v>7</v>
      </c>
      <c r="E179" s="67" t="s">
        <v>361</v>
      </c>
    </row>
    <row r="180" spans="1:5" ht="30" x14ac:dyDescent="0.25">
      <c r="A180" s="99"/>
      <c r="B180" s="66"/>
      <c r="C180" s="65"/>
      <c r="D180" s="66">
        <f t="shared" si="5"/>
        <v>8</v>
      </c>
      <c r="E180" s="67" t="s">
        <v>362</v>
      </c>
    </row>
    <row r="181" spans="1:5" ht="30" x14ac:dyDescent="0.25">
      <c r="A181" s="99"/>
      <c r="B181" s="66"/>
      <c r="C181" s="65"/>
      <c r="D181" s="66">
        <f t="shared" si="5"/>
        <v>9</v>
      </c>
      <c r="E181" s="67" t="s">
        <v>363</v>
      </c>
    </row>
    <row r="182" spans="1:5" ht="45" x14ac:dyDescent="0.25">
      <c r="A182" s="99"/>
      <c r="B182" s="66">
        <v>2</v>
      </c>
      <c r="C182" s="100" t="s">
        <v>364</v>
      </c>
      <c r="D182" s="66">
        <f t="shared" si="5"/>
        <v>10</v>
      </c>
      <c r="E182" s="67" t="s">
        <v>365</v>
      </c>
    </row>
    <row r="183" spans="1:5" x14ac:dyDescent="0.25">
      <c r="A183" s="99"/>
      <c r="B183" s="66"/>
      <c r="C183" s="65"/>
      <c r="D183" s="66">
        <f t="shared" si="5"/>
        <v>11</v>
      </c>
      <c r="E183" s="67" t="s">
        <v>366</v>
      </c>
    </row>
    <row r="184" spans="1:5" ht="45" x14ac:dyDescent="0.25">
      <c r="A184" s="99"/>
      <c r="B184" s="66"/>
      <c r="C184" s="65"/>
      <c r="D184" s="66">
        <f t="shared" si="5"/>
        <v>12</v>
      </c>
      <c r="E184" s="67" t="s">
        <v>367</v>
      </c>
    </row>
    <row r="185" spans="1:5" ht="30" x14ac:dyDescent="0.25">
      <c r="A185" s="99"/>
      <c r="B185" s="66"/>
      <c r="C185" s="65"/>
      <c r="D185" s="66">
        <f t="shared" si="5"/>
        <v>13</v>
      </c>
      <c r="E185" s="67" t="s">
        <v>368</v>
      </c>
    </row>
    <row r="186" spans="1:5" ht="30" x14ac:dyDescent="0.25">
      <c r="A186" s="99"/>
      <c r="B186" s="66">
        <v>3</v>
      </c>
      <c r="C186" s="100" t="s">
        <v>369</v>
      </c>
      <c r="D186" s="66">
        <f t="shared" si="5"/>
        <v>14</v>
      </c>
      <c r="E186" s="67" t="s">
        <v>370</v>
      </c>
    </row>
    <row r="187" spans="1:5" ht="30" x14ac:dyDescent="0.25">
      <c r="A187" s="99"/>
      <c r="B187" s="66"/>
      <c r="C187" s="65"/>
      <c r="D187" s="66">
        <f t="shared" si="5"/>
        <v>15</v>
      </c>
      <c r="E187" s="67" t="s">
        <v>371</v>
      </c>
    </row>
    <row r="188" spans="1:5" ht="30" x14ac:dyDescent="0.25">
      <c r="A188" s="99"/>
      <c r="B188" s="66"/>
      <c r="C188" s="65"/>
      <c r="D188" s="66">
        <f t="shared" si="5"/>
        <v>16</v>
      </c>
      <c r="E188" s="67" t="s">
        <v>372</v>
      </c>
    </row>
    <row r="189" spans="1:5" x14ac:dyDescent="0.25">
      <c r="A189" s="99"/>
      <c r="B189" s="66"/>
      <c r="C189" s="65"/>
      <c r="D189" s="66">
        <f t="shared" si="5"/>
        <v>17</v>
      </c>
      <c r="E189" s="67" t="s">
        <v>373</v>
      </c>
    </row>
    <row r="190" spans="1:5" ht="30" x14ac:dyDescent="0.25">
      <c r="A190" s="99"/>
      <c r="B190" s="66"/>
      <c r="C190" s="65"/>
      <c r="D190" s="66">
        <f t="shared" si="5"/>
        <v>18</v>
      </c>
      <c r="E190" s="67" t="s">
        <v>374</v>
      </c>
    </row>
    <row r="191" spans="1:5" ht="30" x14ac:dyDescent="0.25">
      <c r="A191" s="99"/>
      <c r="B191" s="66"/>
      <c r="C191" s="65"/>
      <c r="D191" s="66">
        <f t="shared" si="5"/>
        <v>19</v>
      </c>
      <c r="E191" s="67" t="s">
        <v>375</v>
      </c>
    </row>
    <row r="192" spans="1:5" x14ac:dyDescent="0.25">
      <c r="A192" s="99"/>
      <c r="B192" s="66">
        <v>4</v>
      </c>
      <c r="C192" s="65" t="s">
        <v>376</v>
      </c>
      <c r="D192" s="66">
        <f t="shared" si="5"/>
        <v>20</v>
      </c>
      <c r="E192" s="67" t="s">
        <v>377</v>
      </c>
    </row>
    <row r="193" spans="1:5" x14ac:dyDescent="0.25">
      <c r="A193" s="99"/>
      <c r="B193" s="66"/>
      <c r="C193" s="65"/>
      <c r="D193" s="66">
        <f t="shared" si="5"/>
        <v>21</v>
      </c>
      <c r="E193" s="67" t="s">
        <v>378</v>
      </c>
    </row>
    <row r="194" spans="1:5" ht="60" x14ac:dyDescent="0.25">
      <c r="A194" s="99"/>
      <c r="B194" s="66"/>
      <c r="C194" s="65"/>
      <c r="D194" s="66">
        <f t="shared" si="5"/>
        <v>22</v>
      </c>
      <c r="E194" s="67" t="s">
        <v>379</v>
      </c>
    </row>
    <row r="195" spans="1:5" ht="45" x14ac:dyDescent="0.25">
      <c r="A195" s="99"/>
      <c r="B195" s="66"/>
      <c r="C195" s="65"/>
      <c r="D195" s="66">
        <f t="shared" si="5"/>
        <v>23</v>
      </c>
      <c r="E195" s="67" t="s">
        <v>380</v>
      </c>
    </row>
    <row r="196" spans="1:5" ht="45" x14ac:dyDescent="0.25">
      <c r="A196" s="99"/>
      <c r="B196" s="66"/>
      <c r="C196" s="65"/>
      <c r="D196" s="66">
        <f t="shared" si="5"/>
        <v>24</v>
      </c>
      <c r="E196" s="67" t="s">
        <v>381</v>
      </c>
    </row>
    <row r="197" spans="1:5" x14ac:dyDescent="0.25">
      <c r="A197" s="99"/>
      <c r="B197" s="66"/>
      <c r="C197" s="65"/>
      <c r="D197" s="66">
        <f t="shared" si="5"/>
        <v>25</v>
      </c>
      <c r="E197" s="67" t="s">
        <v>382</v>
      </c>
    </row>
    <row r="198" spans="1:5" ht="30" x14ac:dyDescent="0.25">
      <c r="A198" s="99"/>
      <c r="B198" s="66">
        <v>5</v>
      </c>
      <c r="C198" s="100" t="s">
        <v>383</v>
      </c>
      <c r="D198" s="66">
        <f t="shared" si="5"/>
        <v>26</v>
      </c>
      <c r="E198" s="67" t="s">
        <v>384</v>
      </c>
    </row>
    <row r="199" spans="1:5" ht="30" x14ac:dyDescent="0.25">
      <c r="A199" s="99"/>
      <c r="B199" s="66"/>
      <c r="C199" s="65"/>
      <c r="D199" s="66">
        <f t="shared" si="5"/>
        <v>27</v>
      </c>
      <c r="E199" s="67" t="s">
        <v>385</v>
      </c>
    </row>
    <row r="200" spans="1:5" ht="60" x14ac:dyDescent="0.25">
      <c r="A200" s="99"/>
      <c r="B200" s="66">
        <v>6</v>
      </c>
      <c r="C200" s="100" t="s">
        <v>386</v>
      </c>
      <c r="D200" s="66">
        <f t="shared" si="5"/>
        <v>28</v>
      </c>
      <c r="E200" s="67" t="s">
        <v>387</v>
      </c>
    </row>
    <row r="201" spans="1:5" ht="30" x14ac:dyDescent="0.25">
      <c r="A201" s="99"/>
      <c r="B201" s="66"/>
      <c r="C201" s="65"/>
      <c r="D201" s="66">
        <f t="shared" si="5"/>
        <v>29</v>
      </c>
      <c r="E201" s="67" t="s">
        <v>388</v>
      </c>
    </row>
    <row r="202" spans="1:5" ht="30" x14ac:dyDescent="0.25">
      <c r="A202" s="99"/>
      <c r="B202" s="66"/>
      <c r="C202" s="65"/>
      <c r="D202" s="66">
        <f t="shared" si="5"/>
        <v>30</v>
      </c>
      <c r="E202" s="67" t="s">
        <v>389</v>
      </c>
    </row>
    <row r="203" spans="1:5" ht="30" x14ac:dyDescent="0.25">
      <c r="A203" s="99"/>
      <c r="B203" s="66"/>
      <c r="C203" s="65"/>
      <c r="D203" s="66">
        <f t="shared" si="5"/>
        <v>31</v>
      </c>
      <c r="E203" s="67" t="s">
        <v>390</v>
      </c>
    </row>
    <row r="204" spans="1:5" ht="45" x14ac:dyDescent="0.25">
      <c r="A204" s="99"/>
      <c r="B204" s="66"/>
      <c r="C204" s="65"/>
      <c r="D204" s="66">
        <f t="shared" si="5"/>
        <v>32</v>
      </c>
      <c r="E204" s="67" t="s">
        <v>391</v>
      </c>
    </row>
    <row r="205" spans="1:5" ht="45" x14ac:dyDescent="0.25">
      <c r="A205" s="99"/>
      <c r="B205" s="66"/>
      <c r="C205" s="65"/>
      <c r="D205" s="66">
        <f t="shared" si="5"/>
        <v>33</v>
      </c>
      <c r="E205" s="67" t="s">
        <v>392</v>
      </c>
    </row>
    <row r="206" spans="1:5" ht="45" x14ac:dyDescent="0.25">
      <c r="A206" s="99"/>
      <c r="B206" s="66"/>
      <c r="C206" s="65"/>
      <c r="D206" s="66">
        <f t="shared" si="5"/>
        <v>34</v>
      </c>
      <c r="E206" s="67" t="s">
        <v>393</v>
      </c>
    </row>
    <row r="207" spans="1:5" ht="30.75" thickBot="1" x14ac:dyDescent="0.3">
      <c r="A207" s="101"/>
      <c r="B207" s="70"/>
      <c r="C207" s="69"/>
      <c r="D207" s="66">
        <f t="shared" si="5"/>
        <v>35</v>
      </c>
      <c r="E207" s="71" t="s">
        <v>394</v>
      </c>
    </row>
    <row r="208" spans="1:5" ht="75" x14ac:dyDescent="0.25">
      <c r="A208" s="50" t="s">
        <v>395</v>
      </c>
      <c r="B208" s="115">
        <v>1</v>
      </c>
      <c r="C208" s="116" t="s">
        <v>396</v>
      </c>
      <c r="D208" s="115">
        <v>1</v>
      </c>
      <c r="E208" s="117" t="s">
        <v>397</v>
      </c>
    </row>
    <row r="209" spans="1:5" x14ac:dyDescent="0.25">
      <c r="A209" s="47"/>
      <c r="B209" s="91"/>
      <c r="C209" s="92"/>
      <c r="D209" s="91">
        <f>D208+1</f>
        <v>2</v>
      </c>
      <c r="E209" s="93" t="s">
        <v>398</v>
      </c>
    </row>
    <row r="210" spans="1:5" ht="45" x14ac:dyDescent="0.25">
      <c r="A210" s="47"/>
      <c r="B210" s="91"/>
      <c r="C210" s="92"/>
      <c r="D210" s="91">
        <f t="shared" ref="D210:D251" si="6">D209+1</f>
        <v>3</v>
      </c>
      <c r="E210" s="93" t="s">
        <v>399</v>
      </c>
    </row>
    <row r="211" spans="1:5" ht="45" x14ac:dyDescent="0.25">
      <c r="A211" s="47"/>
      <c r="B211" s="91"/>
      <c r="C211" s="92"/>
      <c r="D211" s="91">
        <f t="shared" si="6"/>
        <v>4</v>
      </c>
      <c r="E211" s="93" t="s">
        <v>400</v>
      </c>
    </row>
    <row r="212" spans="1:5" ht="30" x14ac:dyDescent="0.25">
      <c r="A212" s="47"/>
      <c r="B212" s="91"/>
      <c r="C212" s="92"/>
      <c r="D212" s="91">
        <f t="shared" si="6"/>
        <v>5</v>
      </c>
      <c r="E212" s="93" t="s">
        <v>401</v>
      </c>
    </row>
    <row r="213" spans="1:5" ht="30" x14ac:dyDescent="0.25">
      <c r="A213" s="47"/>
      <c r="B213" s="91"/>
      <c r="C213" s="92"/>
      <c r="D213" s="91">
        <f t="shared" si="6"/>
        <v>6</v>
      </c>
      <c r="E213" s="93" t="s">
        <v>402</v>
      </c>
    </row>
    <row r="214" spans="1:5" ht="30" x14ac:dyDescent="0.25">
      <c r="A214" s="47"/>
      <c r="B214" s="91"/>
      <c r="C214" s="92"/>
      <c r="D214" s="91">
        <f t="shared" si="6"/>
        <v>7</v>
      </c>
      <c r="E214" s="93" t="s">
        <v>403</v>
      </c>
    </row>
    <row r="215" spans="1:5" ht="30" x14ac:dyDescent="0.25">
      <c r="A215" s="47"/>
      <c r="B215" s="91">
        <v>2</v>
      </c>
      <c r="C215" s="94" t="s">
        <v>404</v>
      </c>
      <c r="D215" s="91">
        <f t="shared" si="6"/>
        <v>8</v>
      </c>
      <c r="E215" s="93" t="s">
        <v>405</v>
      </c>
    </row>
    <row r="216" spans="1:5" ht="30" x14ac:dyDescent="0.25">
      <c r="A216" s="47"/>
      <c r="B216" s="91"/>
      <c r="C216" s="92"/>
      <c r="D216" s="91">
        <f t="shared" si="6"/>
        <v>9</v>
      </c>
      <c r="E216" s="93" t="s">
        <v>406</v>
      </c>
    </row>
    <row r="217" spans="1:5" ht="30" x14ac:dyDescent="0.25">
      <c r="A217" s="47"/>
      <c r="B217" s="91"/>
      <c r="C217" s="92"/>
      <c r="D217" s="91">
        <f t="shared" si="6"/>
        <v>10</v>
      </c>
      <c r="E217" s="93" t="s">
        <v>407</v>
      </c>
    </row>
    <row r="218" spans="1:5" ht="30" x14ac:dyDescent="0.25">
      <c r="A218" s="47"/>
      <c r="B218" s="91"/>
      <c r="C218" s="92"/>
      <c r="D218" s="91">
        <f t="shared" si="6"/>
        <v>11</v>
      </c>
      <c r="E218" s="93" t="s">
        <v>408</v>
      </c>
    </row>
    <row r="219" spans="1:5" ht="45" x14ac:dyDescent="0.25">
      <c r="A219" s="47"/>
      <c r="B219" s="91"/>
      <c r="C219" s="92"/>
      <c r="D219" s="91">
        <f t="shared" si="6"/>
        <v>12</v>
      </c>
      <c r="E219" s="93" t="s">
        <v>409</v>
      </c>
    </row>
    <row r="220" spans="1:5" ht="30" x14ac:dyDescent="0.25">
      <c r="A220" s="47"/>
      <c r="B220" s="91"/>
      <c r="C220" s="92"/>
      <c r="D220" s="91">
        <f t="shared" si="6"/>
        <v>13</v>
      </c>
      <c r="E220" s="93" t="s">
        <v>410</v>
      </c>
    </row>
    <row r="221" spans="1:5" ht="30" x14ac:dyDescent="0.25">
      <c r="A221" s="47"/>
      <c r="B221" s="91"/>
      <c r="C221" s="92"/>
      <c r="D221" s="91">
        <f t="shared" si="6"/>
        <v>14</v>
      </c>
      <c r="E221" s="93" t="s">
        <v>411</v>
      </c>
    </row>
    <row r="222" spans="1:5" ht="60" x14ac:dyDescent="0.25">
      <c r="A222" s="47"/>
      <c r="B222" s="91">
        <v>3</v>
      </c>
      <c r="C222" s="94" t="s">
        <v>412</v>
      </c>
      <c r="D222" s="91">
        <f t="shared" si="6"/>
        <v>15</v>
      </c>
      <c r="E222" s="93" t="s">
        <v>413</v>
      </c>
    </row>
    <row r="223" spans="1:5" ht="45" x14ac:dyDescent="0.25">
      <c r="A223" s="47"/>
      <c r="B223" s="91"/>
      <c r="C223" s="92"/>
      <c r="D223" s="91">
        <f t="shared" si="6"/>
        <v>16</v>
      </c>
      <c r="E223" s="93" t="s">
        <v>414</v>
      </c>
    </row>
    <row r="224" spans="1:5" ht="60" x14ac:dyDescent="0.25">
      <c r="A224" s="47"/>
      <c r="B224" s="91"/>
      <c r="C224" s="92"/>
      <c r="D224" s="91">
        <f t="shared" si="6"/>
        <v>17</v>
      </c>
      <c r="E224" s="93" t="s">
        <v>415</v>
      </c>
    </row>
    <row r="225" spans="1:5" ht="45" x14ac:dyDescent="0.25">
      <c r="A225" s="47"/>
      <c r="B225" s="91"/>
      <c r="C225" s="92"/>
      <c r="D225" s="91">
        <f t="shared" si="6"/>
        <v>18</v>
      </c>
      <c r="E225" s="93" t="s">
        <v>416</v>
      </c>
    </row>
    <row r="226" spans="1:5" x14ac:dyDescent="0.25">
      <c r="A226" s="47"/>
      <c r="B226" s="91"/>
      <c r="C226" s="92"/>
      <c r="D226" s="91">
        <f t="shared" si="6"/>
        <v>19</v>
      </c>
      <c r="E226" s="93" t="s">
        <v>417</v>
      </c>
    </row>
    <row r="227" spans="1:5" ht="45" x14ac:dyDescent="0.25">
      <c r="A227" s="47"/>
      <c r="B227" s="91">
        <v>4</v>
      </c>
      <c r="C227" s="94" t="s">
        <v>418</v>
      </c>
      <c r="D227" s="91">
        <f t="shared" si="6"/>
        <v>20</v>
      </c>
      <c r="E227" s="93" t="s">
        <v>419</v>
      </c>
    </row>
    <row r="228" spans="1:5" ht="45" x14ac:dyDescent="0.25">
      <c r="A228" s="47"/>
      <c r="B228" s="91"/>
      <c r="C228" s="92"/>
      <c r="D228" s="91">
        <f t="shared" si="6"/>
        <v>21</v>
      </c>
      <c r="E228" s="93" t="s">
        <v>420</v>
      </c>
    </row>
    <row r="229" spans="1:5" ht="45" x14ac:dyDescent="0.25">
      <c r="A229" s="47"/>
      <c r="B229" s="91"/>
      <c r="C229" s="92"/>
      <c r="D229" s="91">
        <f t="shared" si="6"/>
        <v>22</v>
      </c>
      <c r="E229" s="93" t="s">
        <v>421</v>
      </c>
    </row>
    <row r="230" spans="1:5" ht="60" x14ac:dyDescent="0.25">
      <c r="A230" s="47"/>
      <c r="B230" s="91"/>
      <c r="C230" s="92"/>
      <c r="D230" s="91">
        <f t="shared" si="6"/>
        <v>23</v>
      </c>
      <c r="E230" s="93" t="s">
        <v>422</v>
      </c>
    </row>
    <row r="231" spans="1:5" ht="30" x14ac:dyDescent="0.25">
      <c r="A231" s="47"/>
      <c r="B231" s="91"/>
      <c r="C231" s="92"/>
      <c r="D231" s="91">
        <f t="shared" si="6"/>
        <v>24</v>
      </c>
      <c r="E231" s="93" t="s">
        <v>423</v>
      </c>
    </row>
    <row r="232" spans="1:5" ht="30" x14ac:dyDescent="0.25">
      <c r="A232" s="47"/>
      <c r="B232" s="91"/>
      <c r="C232" s="92"/>
      <c r="D232" s="91">
        <f t="shared" si="6"/>
        <v>25</v>
      </c>
      <c r="E232" s="93" t="s">
        <v>424</v>
      </c>
    </row>
    <row r="233" spans="1:5" ht="30" x14ac:dyDescent="0.25">
      <c r="A233" s="47"/>
      <c r="B233" s="91"/>
      <c r="C233" s="92"/>
      <c r="D233" s="91">
        <f t="shared" si="6"/>
        <v>26</v>
      </c>
      <c r="E233" s="93" t="s">
        <v>425</v>
      </c>
    </row>
    <row r="234" spans="1:5" ht="45" x14ac:dyDescent="0.25">
      <c r="A234" s="47"/>
      <c r="B234" s="91">
        <v>5</v>
      </c>
      <c r="C234" s="94" t="s">
        <v>426</v>
      </c>
      <c r="D234" s="91">
        <f t="shared" si="6"/>
        <v>27</v>
      </c>
      <c r="E234" s="93" t="s">
        <v>427</v>
      </c>
    </row>
    <row r="235" spans="1:5" ht="60" x14ac:dyDescent="0.25">
      <c r="A235" s="47"/>
      <c r="B235" s="91"/>
      <c r="C235" s="92"/>
      <c r="D235" s="91">
        <f t="shared" si="6"/>
        <v>28</v>
      </c>
      <c r="E235" s="93" t="s">
        <v>428</v>
      </c>
    </row>
    <row r="236" spans="1:5" ht="30" x14ac:dyDescent="0.25">
      <c r="A236" s="47"/>
      <c r="B236" s="91"/>
      <c r="C236" s="92"/>
      <c r="D236" s="91">
        <f t="shared" si="6"/>
        <v>29</v>
      </c>
      <c r="E236" s="93" t="s">
        <v>429</v>
      </c>
    </row>
    <row r="237" spans="1:5" ht="30" x14ac:dyDescent="0.25">
      <c r="A237" s="47"/>
      <c r="B237" s="91"/>
      <c r="C237" s="92"/>
      <c r="D237" s="91">
        <f t="shared" si="6"/>
        <v>30</v>
      </c>
      <c r="E237" s="93" t="s">
        <v>430</v>
      </c>
    </row>
    <row r="238" spans="1:5" ht="45" x14ac:dyDescent="0.25">
      <c r="A238" s="47"/>
      <c r="B238" s="91"/>
      <c r="C238" s="92"/>
      <c r="D238" s="91">
        <f t="shared" si="6"/>
        <v>31</v>
      </c>
      <c r="E238" s="93" t="s">
        <v>431</v>
      </c>
    </row>
    <row r="239" spans="1:5" ht="45" x14ac:dyDescent="0.25">
      <c r="A239" s="47"/>
      <c r="B239" s="91"/>
      <c r="C239" s="92"/>
      <c r="D239" s="91">
        <f t="shared" si="6"/>
        <v>32</v>
      </c>
      <c r="E239" s="93" t="s">
        <v>432</v>
      </c>
    </row>
    <row r="240" spans="1:5" ht="30" x14ac:dyDescent="0.25">
      <c r="A240" s="47"/>
      <c r="B240" s="91">
        <v>6</v>
      </c>
      <c r="C240" s="92" t="s">
        <v>138</v>
      </c>
      <c r="D240" s="91">
        <f t="shared" si="6"/>
        <v>33</v>
      </c>
      <c r="E240" s="93" t="s">
        <v>433</v>
      </c>
    </row>
    <row r="241" spans="1:5" ht="45" x14ac:dyDescent="0.25">
      <c r="A241" s="47"/>
      <c r="B241" s="91"/>
      <c r="C241" s="92"/>
      <c r="D241" s="91">
        <f t="shared" si="6"/>
        <v>34</v>
      </c>
      <c r="E241" s="93" t="s">
        <v>434</v>
      </c>
    </row>
    <row r="242" spans="1:5" ht="45" x14ac:dyDescent="0.25">
      <c r="A242" s="47"/>
      <c r="B242" s="91"/>
      <c r="C242" s="92"/>
      <c r="D242" s="91">
        <f t="shared" si="6"/>
        <v>35</v>
      </c>
      <c r="E242" s="93" t="s">
        <v>435</v>
      </c>
    </row>
    <row r="243" spans="1:5" ht="30" x14ac:dyDescent="0.25">
      <c r="A243" s="47"/>
      <c r="B243" s="91"/>
      <c r="C243" s="92"/>
      <c r="D243" s="91">
        <f t="shared" si="6"/>
        <v>36</v>
      </c>
      <c r="E243" s="93" t="s">
        <v>436</v>
      </c>
    </row>
    <row r="244" spans="1:5" ht="30" x14ac:dyDescent="0.25">
      <c r="A244" s="47"/>
      <c r="B244" s="91"/>
      <c r="C244" s="92"/>
      <c r="D244" s="91">
        <f t="shared" si="6"/>
        <v>37</v>
      </c>
      <c r="E244" s="93" t="s">
        <v>437</v>
      </c>
    </row>
    <row r="245" spans="1:5" ht="30" x14ac:dyDescent="0.25">
      <c r="A245" s="47"/>
      <c r="B245" s="91"/>
      <c r="C245" s="92"/>
      <c r="D245" s="91">
        <f t="shared" si="6"/>
        <v>38</v>
      </c>
      <c r="E245" s="93" t="s">
        <v>438</v>
      </c>
    </row>
    <row r="246" spans="1:5" ht="90" x14ac:dyDescent="0.25">
      <c r="A246" s="47"/>
      <c r="B246" s="91">
        <v>7</v>
      </c>
      <c r="C246" s="92" t="s">
        <v>439</v>
      </c>
      <c r="D246" s="91">
        <f t="shared" si="6"/>
        <v>39</v>
      </c>
      <c r="E246" s="93" t="s">
        <v>440</v>
      </c>
    </row>
    <row r="247" spans="1:5" ht="30" x14ac:dyDescent="0.25">
      <c r="A247" s="47"/>
      <c r="B247" s="91"/>
      <c r="C247" s="92"/>
      <c r="D247" s="91">
        <f t="shared" si="6"/>
        <v>40</v>
      </c>
      <c r="E247" s="93" t="s">
        <v>441</v>
      </c>
    </row>
    <row r="248" spans="1:5" ht="30" x14ac:dyDescent="0.25">
      <c r="A248" s="47"/>
      <c r="B248" s="91"/>
      <c r="C248" s="92"/>
      <c r="D248" s="91">
        <f t="shared" si="6"/>
        <v>41</v>
      </c>
      <c r="E248" s="93" t="s">
        <v>442</v>
      </c>
    </row>
    <row r="249" spans="1:5" ht="45" x14ac:dyDescent="0.25">
      <c r="A249" s="47"/>
      <c r="B249" s="91"/>
      <c r="C249" s="92"/>
      <c r="D249" s="91">
        <f t="shared" si="6"/>
        <v>42</v>
      </c>
      <c r="E249" s="93" t="s">
        <v>443</v>
      </c>
    </row>
    <row r="250" spans="1:5" ht="30" x14ac:dyDescent="0.25">
      <c r="A250" s="47"/>
      <c r="B250" s="91"/>
      <c r="C250" s="92"/>
      <c r="D250" s="91">
        <f t="shared" si="6"/>
        <v>43</v>
      </c>
      <c r="E250" s="93" t="s">
        <v>444</v>
      </c>
    </row>
    <row r="251" spans="1:5" ht="30.75" thickBot="1" x14ac:dyDescent="0.3">
      <c r="A251" s="49"/>
      <c r="B251" s="112"/>
      <c r="C251" s="113"/>
      <c r="D251" s="91">
        <f t="shared" si="6"/>
        <v>44</v>
      </c>
      <c r="E251" s="114" t="s">
        <v>445</v>
      </c>
    </row>
    <row r="252" spans="1:5" x14ac:dyDescent="0.25">
      <c r="A252" t="s">
        <v>446</v>
      </c>
      <c r="B252" s="45">
        <f>B62+B136+B169+B200+B246</f>
        <v>36</v>
      </c>
      <c r="C252" s="44" t="s">
        <v>447</v>
      </c>
      <c r="D252" s="45">
        <f>D70+D138+D172+D207+D251</f>
        <v>249</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Vinculación a Meta Estrategica</vt:lpstr>
      <vt:lpstr>Vinculación a OBJETIVOS SECTORI</vt:lpstr>
      <vt:lpstr>Objetivos Sectoriales y Accione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Edvan Omar Marroquin Franco</dc:creator>
  <cp:lastModifiedBy>Edwin Estuardo Son Bal</cp:lastModifiedBy>
  <dcterms:created xsi:type="dcterms:W3CDTF">2020-03-05T15:36:14Z</dcterms:created>
  <dcterms:modified xsi:type="dcterms:W3CDTF">2020-04-02T23:48:52Z</dcterms:modified>
</cp:coreProperties>
</file>